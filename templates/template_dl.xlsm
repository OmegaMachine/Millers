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tables/table2.xml" ContentType="application/vnd.openxmlformats-officedocument.spreadsheetml.table+xml"/>
  <Override PartName="/xl/slicers/slicer1.xml" ContentType="application/vnd.ms-excel.slicer+xml"/>
  <Override PartName="/xl/drawings/drawing3.xml" ContentType="application/vnd.openxmlformats-officedocument.drawing+xml"/>
  <Override PartName="/xl/tables/table3.xml" ContentType="application/vnd.openxmlformats-officedocument.spreadsheetml.table+xml"/>
  <Override PartName="/xl/slicers/slicer2.xml" ContentType="application/vnd.ms-excel.slicer+xml"/>
  <Override PartName="/xl/tables/table4.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mc:AlternateContent xmlns:mc="http://schemas.openxmlformats.org/markup-compatibility/2006">
    <mc:Choice Requires="x15">
      <x15ac:absPath xmlns:x15ac="http://schemas.microsoft.com/office/spreadsheetml/2010/11/ac" url="F:\Millers 2022\Custom Templates\"/>
    </mc:Choice>
  </mc:AlternateContent>
  <xr:revisionPtr revIDLastSave="0" documentId="13_ncr:1_{EA8F0801-B55B-4355-B88D-7F08288346EA}" xr6:coauthVersionLast="47" xr6:coauthVersionMax="47" xr10:uidLastSave="{00000000-0000-0000-0000-000000000000}"/>
  <bookViews>
    <workbookView xWindow="-120" yWindow="-120" windowWidth="29040" windowHeight="15840" tabRatio="727" activeTab="5" xr2:uid="{00000000-000D-0000-FFFF-FFFF00000000}"/>
  </bookViews>
  <sheets>
    <sheet name="Work Order" sheetId="23" r:id="rId1"/>
    <sheet name="Product Summary" sheetId="74" r:id="rId2"/>
    <sheet name="Liquid" sheetId="37" r:id="rId3"/>
    <sheet name="Aggregates" sheetId="71" r:id="rId4"/>
    <sheet name="Samples" sheetId="11" r:id="rId5"/>
    <sheet name="Daily Report 5-25" sheetId="63" r:id="rId6"/>
    <sheet name="WeatherCheck" sheetId="73" r:id="rId7"/>
    <sheet name="LessonLearned" sheetId="29" r:id="rId8"/>
  </sheets>
  <externalReferences>
    <externalReference r:id="rId9"/>
    <externalReference r:id="rId10"/>
    <externalReference r:id="rId11"/>
  </externalReferences>
  <definedNames>
    <definedName name="ActiveFill" localSheetId="7">[1]Selections!$I$1:$I$3</definedName>
    <definedName name="ActiveFill" localSheetId="1">[3]Selections!$I$1:$I$3</definedName>
    <definedName name="ActiveFill">[2]Selections!$I$1:$I$3</definedName>
    <definedName name="AddAgg" localSheetId="7">[1]Selections!$G$1:$G$5</definedName>
    <definedName name="AddAgg" localSheetId="1">[3]Selections!$G$1:$G$5</definedName>
    <definedName name="AddAgg">[2]Selections!$G$1:$G$5</definedName>
    <definedName name="BinderType" localSheetId="7">[1]Selections!$A$1:$A$6</definedName>
    <definedName name="BinderType" localSheetId="1">[3]Selections!$A$1:$A$6</definedName>
    <definedName name="BinderType">[2]Selections!$A$1:$A$6</definedName>
    <definedName name="DesignMethod" localSheetId="7">[1]Selections!$E$1:$E$3</definedName>
    <definedName name="DesignMethod" localSheetId="1">[3]Selections!$E$1:$E$3</definedName>
    <definedName name="DesignMethod">[2]Selections!$E$1:$E$3</definedName>
    <definedName name="ExternalData_1" localSheetId="1" hidden="1">'Product Summary'!$A$1:$I$4</definedName>
    <definedName name="MixType" localSheetId="7">[1]Selections!$C$1:$C$3</definedName>
    <definedName name="MixType" localSheetId="1">[3]Selections!$C$1:$C$3</definedName>
    <definedName name="MixType">[2]Selections!$C$1:$C$3</definedName>
    <definedName name="_xlnm.Print_Area" localSheetId="3">Aggregates!$A$1:$V$61</definedName>
    <definedName name="_xlnm.Print_Area" localSheetId="5">'Daily Report 5-25'!$A$1:$P$43</definedName>
    <definedName name="_xlnm.Print_Area" localSheetId="7">LessonLearned!$A$1:$C$46</definedName>
    <definedName name="_xlnm.Print_Area" localSheetId="2">Liquid!$A$1:$M$32</definedName>
    <definedName name="_xlnm.Print_Area" localSheetId="4">Samples!#REF!</definedName>
    <definedName name="_xlnm.Print_Titles" localSheetId="2">Liquid!#REF!</definedName>
    <definedName name="_xlnm.Print_Titles" localSheetId="4">Samples!#REF!</definedName>
    <definedName name="Slicer_Date">#N/A</definedName>
    <definedName name="Slicer_Date1">#N/A</definedName>
    <definedName name="Slicer_Lift_Layer">#N/A</definedName>
    <definedName name="Slicer_Road_Name">#N/A</definedName>
    <definedName name="Slicer_Road_Name1">#N/A</definedName>
    <definedName name="Slicer_Type">#N/A</definedName>
  </definedNames>
  <calcPr calcId="181029"/>
  <pivotCaches>
    <pivotCache cacheId="31" r:id="rId12"/>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3"/>
        <x14:slicerCache r:id="rId14"/>
        <x14:slicerCache r:id="rId15"/>
        <x14:slicerCache r:id="rId16"/>
        <x14:slicerCache r:id="rId17"/>
        <x14:slicerCache r:id="rId18"/>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C13" i="63" l="1"/>
  <c r="C12" i="63"/>
  <c r="C14" i="63"/>
  <c r="C15" i="63"/>
  <c r="C16" i="63"/>
  <c r="C17" i="63"/>
  <c r="C18" i="63"/>
  <c r="C19" i="63"/>
  <c r="C20" i="63"/>
  <c r="C21" i="63"/>
  <c r="C22" i="63"/>
  <c r="C23" i="63"/>
  <c r="M15" i="63" l="1"/>
  <c r="M16" i="63"/>
  <c r="L17" i="63"/>
  <c r="M20" i="63"/>
  <c r="L21" i="63"/>
  <c r="M23" i="63"/>
  <c r="K12" i="63"/>
  <c r="L12" i="63" s="1"/>
  <c r="K13" i="63"/>
  <c r="M13" i="63" s="1"/>
  <c r="K14" i="63"/>
  <c r="M14" i="63" s="1"/>
  <c r="L14" i="63"/>
  <c r="K15" i="63"/>
  <c r="L15" i="63"/>
  <c r="K16" i="63"/>
  <c r="L16" i="63"/>
  <c r="K17" i="63"/>
  <c r="M17" i="63"/>
  <c r="K18" i="63"/>
  <c r="L18" i="63"/>
  <c r="K19" i="63"/>
  <c r="M19" i="63"/>
  <c r="K20" i="63"/>
  <c r="L20" i="63"/>
  <c r="K21" i="63"/>
  <c r="M21" i="63"/>
  <c r="K22" i="63"/>
  <c r="L22" i="63"/>
  <c r="K23" i="63"/>
  <c r="L23" i="63"/>
  <c r="J3" i="71"/>
  <c r="J4" i="71"/>
  <c r="J5" i="71"/>
  <c r="J6" i="71"/>
  <c r="J7" i="71"/>
  <c r="J8" i="71"/>
  <c r="J9" i="71"/>
  <c r="J10" i="71"/>
  <c r="J11" i="71"/>
  <c r="J12" i="71"/>
  <c r="J13" i="71"/>
  <c r="J14" i="71"/>
  <c r="J15" i="71"/>
  <c r="J16" i="71"/>
  <c r="J17" i="71"/>
  <c r="J18" i="71"/>
  <c r="J19" i="71"/>
  <c r="J20" i="71"/>
  <c r="J21" i="71"/>
  <c r="J22" i="71"/>
  <c r="J23" i="71"/>
  <c r="J24" i="71"/>
  <c r="J25" i="71"/>
  <c r="J26" i="71"/>
  <c r="J27" i="71"/>
  <c r="J28" i="71"/>
  <c r="J29" i="71"/>
  <c r="J30" i="71"/>
  <c r="J31" i="71"/>
  <c r="K61" i="71"/>
  <c r="J60" i="71"/>
  <c r="J59" i="71"/>
  <c r="J58" i="71"/>
  <c r="J57" i="71"/>
  <c r="J56" i="71"/>
  <c r="J55" i="71"/>
  <c r="J54" i="71"/>
  <c r="J53" i="71"/>
  <c r="J52" i="71"/>
  <c r="J51" i="71"/>
  <c r="J50" i="71"/>
  <c r="J49" i="71"/>
  <c r="J48" i="71"/>
  <c r="J47" i="71"/>
  <c r="J46" i="71"/>
  <c r="J45" i="71"/>
  <c r="J44" i="71"/>
  <c r="J43" i="71"/>
  <c r="J42" i="71"/>
  <c r="J41" i="71"/>
  <c r="J40" i="71"/>
  <c r="J39" i="71"/>
  <c r="J38" i="71"/>
  <c r="J37" i="71"/>
  <c r="J36" i="71"/>
  <c r="J35" i="71"/>
  <c r="J34" i="71"/>
  <c r="J33" i="71"/>
  <c r="J32" i="71"/>
  <c r="L32" i="37"/>
  <c r="K31" i="37"/>
  <c r="K30" i="37"/>
  <c r="K29" i="37"/>
  <c r="K28" i="37"/>
  <c r="K27" i="37"/>
  <c r="K26" i="37"/>
  <c r="K25" i="37"/>
  <c r="K24" i="37"/>
  <c r="K23" i="37"/>
  <c r="K22" i="37"/>
  <c r="K21" i="37"/>
  <c r="K20" i="37"/>
  <c r="K19" i="37"/>
  <c r="K18" i="37"/>
  <c r="K17" i="37"/>
  <c r="K16" i="37"/>
  <c r="K15" i="37"/>
  <c r="K14" i="37"/>
  <c r="K13" i="37"/>
  <c r="K12" i="37"/>
  <c r="K11" i="37"/>
  <c r="K10" i="37"/>
  <c r="K9" i="37"/>
  <c r="K8" i="37"/>
  <c r="K7" i="37"/>
  <c r="K6" i="37"/>
  <c r="K5" i="37"/>
  <c r="K4" i="37"/>
  <c r="K3" i="37"/>
  <c r="L19" i="63"/>
  <c r="M22" i="63"/>
  <c r="M18" i="63"/>
  <c r="J61" i="71"/>
  <c r="K32" i="37"/>
  <c r="B8" i="63"/>
  <c r="B6" i="63"/>
  <c r="B5" i="63"/>
  <c r="C4" i="29"/>
  <c r="C3" i="29"/>
  <c r="C2" i="29"/>
  <c r="C1" i="29"/>
  <c r="L13" i="63" l="1"/>
  <c r="M12" i="6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PARSONS, Reg (Aurora)</author>
  </authors>
  <commentList>
    <comment ref="A1" authorId="0" shapeId="0" xr:uid="{0A7916DB-CD59-4048-8843-B49B75F360F5}">
      <text>
        <r>
          <rPr>
            <b/>
            <sz val="9"/>
            <color indexed="81"/>
            <rFont val="Tahoma"/>
            <family val="2"/>
          </rPr>
          <t>PARSONS, Reg (Aurora):</t>
        </r>
        <r>
          <rPr>
            <sz val="9"/>
            <color indexed="81"/>
            <rFont val="Tahoma"/>
            <family val="2"/>
          </rPr>
          <t xml:space="preserve">
mm/dd/yyyy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C986402-7538-4969-A8EA-947D6A66E05E}" keepAlive="1" name="Query - Append1" description="Connection to the 'Append1' query in the workbook." type="5" refreshedVersion="7" background="1" saveData="1">
    <dbPr connection="Provider=Microsoft.Mashup.OleDb.1;Data Source=$Workbook$;Location=Append1;Extended Properties=&quot;&quot;" command="SELECT * FROM [Append1]"/>
  </connection>
  <connection id="2" xr16:uid="{D9CA7DF7-991C-4A02-858C-57816797E085}" keepAlive="1" name="Query - June1" description="Connection to the 'June1' query in the workbook." type="5" refreshedVersion="0" background="1">
    <dbPr connection="Provider=Microsoft.Mashup.OleDb.1;Data Source=$Workbook$;Location=June1;Extended Properties=&quot;&quot;" command="SELECT * FROM [June1]"/>
  </connection>
</connections>
</file>

<file path=xl/sharedStrings.xml><?xml version="1.0" encoding="utf-8"?>
<sst xmlns="http://schemas.openxmlformats.org/spreadsheetml/2006/main" count="402" uniqueCount="344">
  <si>
    <t>WORK ORDER</t>
  </si>
  <si>
    <t>Project Information:</t>
  </si>
  <si>
    <t>Contract No.:</t>
  </si>
  <si>
    <t>Owner/Contact:</t>
  </si>
  <si>
    <t>Location:</t>
  </si>
  <si>
    <t>Miller Project No.:</t>
  </si>
  <si>
    <t>General Contractor:</t>
  </si>
  <si>
    <t>Subcontractor:</t>
  </si>
  <si>
    <t>Scope of Work</t>
  </si>
  <si>
    <t>Target Application Rate</t>
  </si>
  <si>
    <t>Bottom:</t>
  </si>
  <si>
    <t>Existing Width:</t>
  </si>
  <si>
    <t>Top:</t>
  </si>
  <si>
    <t>Finished Width:</t>
  </si>
  <si>
    <t>Fog Seal:</t>
  </si>
  <si>
    <t>Length:</t>
  </si>
  <si>
    <t>Binding Agent:</t>
  </si>
  <si>
    <t>Bottom</t>
  </si>
  <si>
    <t>Top</t>
  </si>
  <si>
    <t>Fog</t>
  </si>
  <si>
    <t>Emulsion Type:</t>
  </si>
  <si>
    <t>Aggregate Type:</t>
  </si>
  <si>
    <t>Emulsion Source:</t>
  </si>
  <si>
    <t>Aggregate Source:</t>
  </si>
  <si>
    <t>Additives:</t>
  </si>
  <si>
    <t>Specifications:</t>
  </si>
  <si>
    <t>Equipment Storage/Parking/Location:</t>
  </si>
  <si>
    <t>Tankers:</t>
  </si>
  <si>
    <t>Pick-Up/Stockpiles:</t>
  </si>
  <si>
    <t>Other Equipment:</t>
  </si>
  <si>
    <t>Water Hole:</t>
  </si>
  <si>
    <t>Existing Road Condition:</t>
  </si>
  <si>
    <t>Notes:</t>
  </si>
  <si>
    <t>Date</t>
  </si>
  <si>
    <t>ROAD NAME</t>
  </si>
  <si>
    <t>UNIT#</t>
  </si>
  <si>
    <t>LAYER</t>
  </si>
  <si>
    <t>EMULSION SPRAYED (L)</t>
  </si>
  <si>
    <t>AGG. USED (kg)</t>
  </si>
  <si>
    <t>LENGTH (m)</t>
  </si>
  <si>
    <t>WIDTH (m)</t>
  </si>
  <si>
    <t>Date:</t>
  </si>
  <si>
    <t>Ticket #:</t>
  </si>
  <si>
    <t>Gross</t>
  </si>
  <si>
    <t>Tare</t>
  </si>
  <si>
    <t>Net</t>
  </si>
  <si>
    <t>Credit</t>
  </si>
  <si>
    <t xml:space="preserve">   </t>
  </si>
  <si>
    <t>Road Name</t>
  </si>
  <si>
    <t>Contract #</t>
  </si>
  <si>
    <t>Tech</t>
  </si>
  <si>
    <t>Station</t>
  </si>
  <si>
    <t>Lane</t>
  </si>
  <si>
    <t>Sample Description</t>
  </si>
  <si>
    <t>Lab Test Requested</t>
  </si>
  <si>
    <t>Tag Numbers</t>
  </si>
  <si>
    <t>DAILY LOG - GRANULAR SEALING (SURFACE TREATMENT)</t>
  </si>
  <si>
    <t>Job Details</t>
  </si>
  <si>
    <t>Flare</t>
  </si>
  <si>
    <t>Fog-Seal</t>
  </si>
  <si>
    <t>Weather Log</t>
  </si>
  <si>
    <t>Daily Sampling Log</t>
  </si>
  <si>
    <t>Aggregate Type</t>
  </si>
  <si>
    <t>Time</t>
  </si>
  <si>
    <t>Air Temp</t>
  </si>
  <si>
    <t>Road Temp</t>
  </si>
  <si>
    <t>Material Type</t>
  </si>
  <si>
    <t>#Samples</t>
  </si>
  <si>
    <t>OPSS:</t>
  </si>
  <si>
    <t>Target Agg. App. Rate</t>
  </si>
  <si>
    <t>Morning</t>
  </si>
  <si>
    <t>Emulsion</t>
  </si>
  <si>
    <t>Emulsion Type</t>
  </si>
  <si>
    <t>Afternoon</t>
  </si>
  <si>
    <t>Aggregate</t>
  </si>
  <si>
    <t>Miller Job #</t>
  </si>
  <si>
    <t>Target Em. App. Rate</t>
  </si>
  <si>
    <t>Evening</t>
  </si>
  <si>
    <t>Additives</t>
  </si>
  <si>
    <t>Product Type:</t>
  </si>
  <si>
    <t xml:space="preserve">Additivies % </t>
  </si>
  <si>
    <t>Retarder</t>
  </si>
  <si>
    <t>Equipment On-Site</t>
  </si>
  <si>
    <t>QC CHECKLIST</t>
  </si>
  <si>
    <t>MATERIAL QUANTITIES</t>
  </si>
  <si>
    <t>WORK AREA</t>
  </si>
  <si>
    <r>
      <t>SPRAY RATE (L/m</t>
    </r>
    <r>
      <rPr>
        <b/>
        <vertAlign val="superscript"/>
        <sz val="11"/>
        <color theme="1"/>
        <rFont val="Arial"/>
        <family val="2"/>
      </rPr>
      <t>2</t>
    </r>
    <r>
      <rPr>
        <b/>
        <sz val="11"/>
        <color theme="1"/>
        <rFont val="Arial"/>
        <family val="2"/>
      </rPr>
      <t>)</t>
    </r>
  </si>
  <si>
    <r>
      <t>SPREAD RATE (kg/m</t>
    </r>
    <r>
      <rPr>
        <b/>
        <vertAlign val="superscript"/>
        <sz val="11"/>
        <color theme="1"/>
        <rFont val="Arial"/>
        <family val="2"/>
      </rPr>
      <t>2</t>
    </r>
    <r>
      <rPr>
        <b/>
        <sz val="11"/>
        <color theme="1"/>
        <rFont val="Arial"/>
        <family val="2"/>
      </rPr>
      <t>)</t>
    </r>
  </si>
  <si>
    <t>OIL DISTRIBUTOR</t>
  </si>
  <si>
    <t>TANKER #</t>
  </si>
  <si>
    <t>DIGITAL READING</t>
  </si>
  <si>
    <t>NOTES</t>
  </si>
  <si>
    <t>Pre-Work Video Survey</t>
  </si>
  <si>
    <t>START VOLUME</t>
  </si>
  <si>
    <t>Post-Work Video Survey</t>
  </si>
  <si>
    <t>FINISH VOLUME</t>
  </si>
  <si>
    <t>Visual on Emulsion</t>
  </si>
  <si>
    <t>Visual on Aggregate</t>
  </si>
  <si>
    <t>Visual on Performed Work</t>
  </si>
  <si>
    <t>Agg. Moisture</t>
  </si>
  <si>
    <t>Agg. Sieve Gradation</t>
  </si>
  <si>
    <t>Agg. Coat Test</t>
  </si>
  <si>
    <t>Material Temperatures</t>
  </si>
  <si>
    <t>Joints per Spec</t>
  </si>
  <si>
    <t>Agg. Stockpile per Spec</t>
  </si>
  <si>
    <t>Emulsion C of A for All</t>
  </si>
  <si>
    <t>Equipment Operation</t>
  </si>
  <si>
    <t>*ACTUAL EMULSION SPRAYED MAY NOT EQUAL DELIVERED VOLUME DUE TO TEMPERATURE DIFFERENTIAL</t>
  </si>
  <si>
    <t>Equipment Calibrated</t>
  </si>
  <si>
    <t>VOLUME (L)</t>
  </si>
  <si>
    <t>NOZZLE ANGLE:</t>
  </si>
  <si>
    <t>NOZZLE HEIGHT:</t>
  </si>
  <si>
    <t>ROLLERS</t>
  </si>
  <si>
    <t>No. Passes</t>
  </si>
  <si>
    <t>METHOD USED</t>
  </si>
  <si>
    <t>TEST 1 RATE</t>
  </si>
  <si>
    <t>TEST 2 RATE</t>
  </si>
  <si>
    <t>TEST 3 RATE</t>
  </si>
  <si>
    <t>Aggregate Application Rate Test</t>
  </si>
  <si>
    <t>Emulsion Application Rate Test</t>
  </si>
  <si>
    <t>Contract#:</t>
  </si>
  <si>
    <t>Lessons Learned</t>
  </si>
  <si>
    <t>Miller Job#</t>
  </si>
  <si>
    <t>Owner:</t>
  </si>
  <si>
    <t xml:space="preserve">Location # </t>
  </si>
  <si>
    <t>Type</t>
  </si>
  <si>
    <t>Comments</t>
  </si>
  <si>
    <t>Types (use pull-down list in form):</t>
  </si>
  <si>
    <t>Traffic</t>
  </si>
  <si>
    <t>Weather</t>
  </si>
  <si>
    <t>Workmanship</t>
  </si>
  <si>
    <t>Equipment</t>
  </si>
  <si>
    <t>Specification</t>
  </si>
  <si>
    <t>Materials</t>
  </si>
  <si>
    <t>EMULSION TICKETS</t>
  </si>
  <si>
    <t>CofA(Y/N)</t>
  </si>
  <si>
    <r>
      <t>TEMP (</t>
    </r>
    <r>
      <rPr>
        <b/>
        <sz val="11"/>
        <rFont val="Calibri"/>
        <family val="2"/>
      </rPr>
      <t>°</t>
    </r>
    <r>
      <rPr>
        <b/>
        <sz val="11"/>
        <rFont val="Arial"/>
        <family val="2"/>
      </rPr>
      <t>C)</t>
    </r>
  </si>
  <si>
    <t>TOTALS</t>
  </si>
  <si>
    <t>AGGREGATE TICKETS</t>
  </si>
  <si>
    <t>Lift/Layer</t>
  </si>
  <si>
    <t>Class</t>
  </si>
  <si>
    <t>Lot No.</t>
  </si>
  <si>
    <t>Sublot No.</t>
  </si>
  <si>
    <t>TYPE</t>
  </si>
  <si>
    <t>Humidty</t>
  </si>
  <si>
    <t>Overnight</t>
  </si>
  <si>
    <t>Emul Temp.</t>
  </si>
  <si>
    <t>Comments:</t>
  </si>
  <si>
    <r>
      <t>AREA (m</t>
    </r>
    <r>
      <rPr>
        <b/>
        <vertAlign val="superscript"/>
        <sz val="10"/>
        <rFont val="Arial"/>
        <family val="2"/>
      </rPr>
      <t>2</t>
    </r>
    <r>
      <rPr>
        <b/>
        <sz val="10"/>
        <rFont val="Arial"/>
        <family val="2"/>
      </rPr>
      <t>)</t>
    </r>
  </si>
  <si>
    <t>Ontario - Weather Conditions and Forecast by Locations</t>
  </si>
  <si>
    <t>Alexandria</t>
  </si>
  <si>
    <t>Dorion</t>
  </si>
  <si>
    <t>Hornepayne</t>
  </si>
  <si>
    <t>Mount Forest</t>
  </si>
  <si>
    <t>Port Perry</t>
  </si>
  <si>
    <t>Terrace Bay</t>
  </si>
  <si>
    <t>Algonquin Park (Brent)</t>
  </si>
  <si>
    <t>Dryden</t>
  </si>
  <si>
    <t>Huntsville</t>
  </si>
  <si>
    <t>Muskoka</t>
  </si>
  <si>
    <t>Prince Edward (Picton)</t>
  </si>
  <si>
    <t>Thunder Bay</t>
  </si>
  <si>
    <t>Algonquin Park (Lake of Two Rivers)</t>
  </si>
  <si>
    <t>Dunchurch</t>
  </si>
  <si>
    <t>Ignace</t>
  </si>
  <si>
    <t>New Tecumseth</t>
  </si>
  <si>
    <t>Quinte West</t>
  </si>
  <si>
    <t>Tillsonburg</t>
  </si>
  <si>
    <t>Alliston</t>
  </si>
  <si>
    <t>Dundalk</t>
  </si>
  <si>
    <t>Kakabeka Falls</t>
  </si>
  <si>
    <t>Newmarket</t>
  </si>
  <si>
    <t>Red Lake</t>
  </si>
  <si>
    <t>Timmins</t>
  </si>
  <si>
    <t>Apsley</t>
  </si>
  <si>
    <t>Ear Falls</t>
  </si>
  <si>
    <t>Kaladar</t>
  </si>
  <si>
    <t>Niagara Falls</t>
  </si>
  <si>
    <t>Renfrew</t>
  </si>
  <si>
    <t>Tobermory</t>
  </si>
  <si>
    <t>Armstrong</t>
  </si>
  <si>
    <t>Earlton</t>
  </si>
  <si>
    <t>Kapuskasing</t>
  </si>
  <si>
    <t>Nipigon</t>
  </si>
  <si>
    <t>Richmond Hill</t>
  </si>
  <si>
    <t>Toronto</t>
  </si>
  <si>
    <t>Atikokan</t>
  </si>
  <si>
    <t>Elliot Lake</t>
  </si>
  <si>
    <t>Kawartha Lakes (Fenelon Falls)</t>
  </si>
  <si>
    <t>Norfolk</t>
  </si>
  <si>
    <t>Rodney</t>
  </si>
  <si>
    <t>Toronto Island</t>
  </si>
  <si>
    <t>Attawapiskat</t>
  </si>
  <si>
    <t>Fort Albany</t>
  </si>
  <si>
    <t>Kawartha Lakes (Lindsay)</t>
  </si>
  <si>
    <t>North Bay</t>
  </si>
  <si>
    <t>Rondeau (Provincial Park)</t>
  </si>
  <si>
    <t>Trenton</t>
  </si>
  <si>
    <t>Bancroft</t>
  </si>
  <si>
    <t>Fort Erie</t>
  </si>
  <si>
    <t>Kemptville</t>
  </si>
  <si>
    <t>North Perth</t>
  </si>
  <si>
    <t>Sachigo Lake</t>
  </si>
  <si>
    <t>Upsala</t>
  </si>
  <si>
    <t>Barrie</t>
  </si>
  <si>
    <t>Fort Frances</t>
  </si>
  <si>
    <t>Kenora</t>
  </si>
  <si>
    <t>Oakville</t>
  </si>
  <si>
    <t>Sandy Lake</t>
  </si>
  <si>
    <t>Vaughan</t>
  </si>
  <si>
    <t>Barry's Bay</t>
  </si>
  <si>
    <t>Fort Severn</t>
  </si>
  <si>
    <t>Killarney</t>
  </si>
  <si>
    <t>Ogoki</t>
  </si>
  <si>
    <t>Sarnia</t>
  </si>
  <si>
    <t>Vineland</t>
  </si>
  <si>
    <t>Belleville</t>
  </si>
  <si>
    <t>Gananoque</t>
  </si>
  <si>
    <t>Kincardine</t>
  </si>
  <si>
    <t>Orangeville</t>
  </si>
  <si>
    <t>Saugeen Shores</t>
  </si>
  <si>
    <t>Walkerton</t>
  </si>
  <si>
    <t>Big Trout Lake</t>
  </si>
  <si>
    <t>Goderich</t>
  </si>
  <si>
    <t>Kingston</t>
  </si>
  <si>
    <t>Orillia</t>
  </si>
  <si>
    <t>Sault Ste. Marie</t>
  </si>
  <si>
    <t>Wawa</t>
  </si>
  <si>
    <t>Blind River</t>
  </si>
  <si>
    <t>Gogama</t>
  </si>
  <si>
    <t>Kirkland Lake</t>
  </si>
  <si>
    <t>Oshawa</t>
  </si>
  <si>
    <t>Savant Lake</t>
  </si>
  <si>
    <t>Webequie</t>
  </si>
  <si>
    <t>Bracebridge</t>
  </si>
  <si>
    <t>Gore Bay</t>
  </si>
  <si>
    <t>Kitchener-Waterloo</t>
  </si>
  <si>
    <t>Ottawa (Kanata - Orléans)</t>
  </si>
  <si>
    <t>Sharbot Lake</t>
  </si>
  <si>
    <t>Welland</t>
  </si>
  <si>
    <t>Brampton</t>
  </si>
  <si>
    <t>Gravenhurst</t>
  </si>
  <si>
    <t>Lake Superior (Provincial Park)</t>
  </si>
  <si>
    <t>Ottawa (Richmond - Metcalfe)</t>
  </si>
  <si>
    <t>Shelburne</t>
  </si>
  <si>
    <t>West Nipissing</t>
  </si>
  <si>
    <t>Brantford</t>
  </si>
  <si>
    <t>Greater Napanee</t>
  </si>
  <si>
    <t>Lambton Shores</t>
  </si>
  <si>
    <t>Owen Sound</t>
  </si>
  <si>
    <t>Simcoe</t>
  </si>
  <si>
    <t>Westport</t>
  </si>
  <si>
    <t>Brockville</t>
  </si>
  <si>
    <t>Greater Sudbury</t>
  </si>
  <si>
    <t>Lansdowne House</t>
  </si>
  <si>
    <t>Oxtongue Lake</t>
  </si>
  <si>
    <t>Sioux Lookout</t>
  </si>
  <si>
    <t>Whitby</t>
  </si>
  <si>
    <t>Burk's Falls</t>
  </si>
  <si>
    <t>Greenstone (Beardmore)</t>
  </si>
  <si>
    <t>Leamington</t>
  </si>
  <si>
    <t>Parry Sound</t>
  </si>
  <si>
    <t>Sioux Narrows</t>
  </si>
  <si>
    <t>White River</t>
  </si>
  <si>
    <t>Burlington</t>
  </si>
  <si>
    <t>Greenstone (Geraldton)</t>
  </si>
  <si>
    <t>Lincoln</t>
  </si>
  <si>
    <t>Peawanuck</t>
  </si>
  <si>
    <t>Smiths Falls</t>
  </si>
  <si>
    <t>Wiarton</t>
  </si>
  <si>
    <t>Caledon</t>
  </si>
  <si>
    <t>Greenstone (Nakina)</t>
  </si>
  <si>
    <t>London</t>
  </si>
  <si>
    <t>Pembroke</t>
  </si>
  <si>
    <t>South Bruce Peninsula</t>
  </si>
  <si>
    <t>Winchester</t>
  </si>
  <si>
    <t>Cambridge</t>
  </si>
  <si>
    <t>Guelph</t>
  </si>
  <si>
    <t>Marathon</t>
  </si>
  <si>
    <t>Petawawa</t>
  </si>
  <si>
    <t>St. Catharines</t>
  </si>
  <si>
    <t>Windsor</t>
  </si>
  <si>
    <t>Chapleau</t>
  </si>
  <si>
    <t>Gull Bay</t>
  </si>
  <si>
    <t>Markham</t>
  </si>
  <si>
    <t>Peterborough</t>
  </si>
  <si>
    <t>St. Thomas</t>
  </si>
  <si>
    <t>Wingham</t>
  </si>
  <si>
    <t>Chatham-Kent</t>
  </si>
  <si>
    <t>Haldimand County</t>
  </si>
  <si>
    <t>Midland</t>
  </si>
  <si>
    <t>Pickering</t>
  </si>
  <si>
    <t>Stirling</t>
  </si>
  <si>
    <t>Woodstock</t>
  </si>
  <si>
    <t>Cobourg</t>
  </si>
  <si>
    <t>Haliburton</t>
  </si>
  <si>
    <t>Mine Centre</t>
  </si>
  <si>
    <t>Pickle Lake</t>
  </si>
  <si>
    <t>Stratford</t>
  </si>
  <si>
    <t>Wunnummin Lake</t>
  </si>
  <si>
    <t>Cochrane</t>
  </si>
  <si>
    <t>Halton Hills</t>
  </si>
  <si>
    <t>Mississauga</t>
  </si>
  <si>
    <t>Pikangikum</t>
  </si>
  <si>
    <t>Strathroy</t>
  </si>
  <si>
    <t>Collingwood</t>
  </si>
  <si>
    <t>Hamilton</t>
  </si>
  <si>
    <t>Montreal River Harbour</t>
  </si>
  <si>
    <t>Port Carling</t>
  </si>
  <si>
    <t>Sudbury (Greater)</t>
  </si>
  <si>
    <t>Cornwall</t>
  </si>
  <si>
    <t>Hawkesbury</t>
  </si>
  <si>
    <t>Moosonee</t>
  </si>
  <si>
    <t>Port Colborne</t>
  </si>
  <si>
    <t>Sydenham</t>
  </si>
  <si>
    <t>Deep River</t>
  </si>
  <si>
    <t>Hearst</t>
  </si>
  <si>
    <t>Morrisburg</t>
  </si>
  <si>
    <t>Port Elgin</t>
  </si>
  <si>
    <t>Temiskaming Shores</t>
  </si>
  <si>
    <t>Quarry/Stockpile</t>
  </si>
  <si>
    <t>Quantities (m2 )</t>
  </si>
  <si>
    <t>Quantities (MT)</t>
  </si>
  <si>
    <t>Single</t>
  </si>
  <si>
    <t>Double</t>
  </si>
  <si>
    <t>Fog Seal</t>
  </si>
  <si>
    <t>Pulverize</t>
  </si>
  <si>
    <t>AREA</t>
  </si>
  <si>
    <t>or</t>
  </si>
  <si>
    <t>TONNAGE</t>
  </si>
  <si>
    <t>PO #:</t>
  </si>
  <si>
    <t>Suggested Hotel:</t>
  </si>
  <si>
    <t>Severly Distresses locations:</t>
  </si>
  <si>
    <t>Visual road condition:</t>
  </si>
  <si>
    <t>AREA (m2)</t>
  </si>
  <si>
    <t>Column Labels</t>
  </si>
  <si>
    <t>Sum of EMULSION SPRAYED (L)</t>
  </si>
  <si>
    <t>Sum of AGG. USED (kg)</t>
  </si>
  <si>
    <t>Total Sum of EMULSION SPRAYED (L)</t>
  </si>
  <si>
    <t>Total Sum of AGG. USED (kg)</t>
  </si>
  <si>
    <t>Row Labels</t>
  </si>
  <si>
    <t>Grand Total</t>
  </si>
  <si>
    <t>Miller Ave</t>
  </si>
  <si>
    <t>Joe Ave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</si>
</sst>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b/>
      <sz val="11"/>
      <color theme="1"/>
      <name val="Calibri"/>
      <family val="2"/>
      <scheme val="minor"/>
    </font>
    <font>
      <sz val="11"/>
      <color theme="1"/>
      <name val="Calibri"/>
      <family val="2"/>
      <scheme val="minor"/>
    </font>
    <font>
      <sz val="10"/>
      <name val="Arial"/>
      <family val="2"/>
    </font>
    <font>
      <b/>
      <sz val="9"/>
      <color indexed="81"/>
      <name val="Tahoma"/>
      <family val="2"/>
    </font>
    <font>
      <sz val="9"/>
      <color indexed="81"/>
      <name val="Tahoma"/>
      <family val="2"/>
    </font>
    <font>
      <b/>
      <sz val="11"/>
      <color theme="1"/>
      <name val="Arial"/>
      <family val="2"/>
    </font>
    <font>
      <b/>
      <sz val="10"/>
      <name val="Arial"/>
      <family val="2"/>
    </font>
    <font>
      <sz val="11"/>
      <color theme="1"/>
      <name val="Arial"/>
      <family val="2"/>
    </font>
    <font>
      <b/>
      <sz val="11"/>
      <name val="Arial"/>
      <family val="2"/>
    </font>
    <font>
      <u/>
      <sz val="11"/>
      <color theme="1"/>
      <name val="Calibri"/>
      <family val="2"/>
      <scheme val="minor"/>
    </font>
    <font>
      <b/>
      <sz val="14"/>
      <color theme="1"/>
      <name val="Calibri"/>
      <family val="2"/>
      <scheme val="minor"/>
    </font>
    <font>
      <b/>
      <vertAlign val="superscript"/>
      <sz val="11"/>
      <color theme="1"/>
      <name val="Arial"/>
      <family val="2"/>
    </font>
    <font>
      <sz val="9"/>
      <color theme="1"/>
      <name val="Arial"/>
      <family val="2"/>
    </font>
    <font>
      <b/>
      <sz val="11"/>
      <color rgb="FF000000"/>
      <name val="Arial"/>
      <family val="2"/>
    </font>
    <font>
      <sz val="11"/>
      <color rgb="FF000000"/>
      <name val="Arial"/>
      <family val="2"/>
    </font>
    <font>
      <sz val="8"/>
      <color rgb="FF202124"/>
      <name val="Arial"/>
      <family val="2"/>
    </font>
    <font>
      <b/>
      <sz val="11"/>
      <name val="Calibri"/>
      <family val="2"/>
    </font>
    <font>
      <b/>
      <sz val="11"/>
      <name val="Calibri"/>
      <family val="2"/>
      <scheme val="minor"/>
    </font>
    <font>
      <b/>
      <vertAlign val="superscript"/>
      <sz val="10"/>
      <name val="Arial"/>
      <family val="2"/>
    </font>
    <font>
      <b/>
      <sz val="10"/>
      <color theme="1"/>
      <name val="Arial"/>
      <family val="2"/>
    </font>
    <font>
      <u/>
      <sz val="11"/>
      <color theme="10"/>
      <name val="Calibri"/>
      <family val="2"/>
      <scheme val="minor"/>
    </font>
    <font>
      <b/>
      <sz val="26"/>
      <color theme="1"/>
      <name val="Arial"/>
      <family val="2"/>
    </font>
    <font>
      <u/>
      <sz val="20"/>
      <color theme="10"/>
      <name val="Calibri"/>
      <family val="2"/>
      <scheme val="minor"/>
    </font>
    <font>
      <sz val="8"/>
      <name val="Calibri"/>
      <family val="2"/>
      <scheme val="minor"/>
    </font>
  </fonts>
  <fills count="8">
    <fill>
      <patternFill patternType="none"/>
    </fill>
    <fill>
      <patternFill patternType="gray125"/>
    </fill>
    <fill>
      <patternFill patternType="solid">
        <fgColor theme="3" tint="0.79998168889431442"/>
        <bgColor indexed="64"/>
      </patternFill>
    </fill>
    <fill>
      <patternFill patternType="solid">
        <fgColor theme="0"/>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rgb="FFD9D9D9"/>
        <bgColor rgb="FF000000"/>
      </patternFill>
    </fill>
    <fill>
      <patternFill patternType="solid">
        <fgColor theme="4" tint="0.79998168889431442"/>
        <bgColor indexed="64"/>
      </patternFill>
    </fill>
  </fills>
  <borders count="61">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right/>
      <top style="medium">
        <color indexed="64"/>
      </top>
      <bottom/>
      <diagonal/>
    </border>
    <border>
      <left style="medium">
        <color indexed="64"/>
      </left>
      <right/>
      <top style="medium">
        <color indexed="64"/>
      </top>
      <bottom/>
      <diagonal/>
    </border>
    <border>
      <left/>
      <right/>
      <top/>
      <bottom style="medium">
        <color indexed="64"/>
      </bottom>
      <diagonal/>
    </border>
    <border>
      <left/>
      <right/>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thin">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top/>
      <bottom style="medium">
        <color indexed="64"/>
      </bottom>
      <diagonal/>
    </border>
    <border>
      <left/>
      <right style="thin">
        <color indexed="64"/>
      </right>
      <top/>
      <bottom style="thin">
        <color indexed="64"/>
      </bottom>
      <diagonal/>
    </border>
    <border>
      <left style="thin">
        <color indexed="64"/>
      </left>
      <right/>
      <top/>
      <bottom/>
      <diagonal/>
    </border>
    <border>
      <left style="medium">
        <color indexed="64"/>
      </left>
      <right style="thin">
        <color indexed="64"/>
      </right>
      <top/>
      <bottom/>
      <diagonal/>
    </border>
    <border>
      <left style="thin">
        <color indexed="64"/>
      </left>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bottom/>
      <diagonal/>
    </border>
  </borders>
  <cellStyleXfs count="5">
    <xf numFmtId="0" fontId="0" fillId="0" borderId="0"/>
    <xf numFmtId="0" fontId="3" fillId="0" borderId="0">
      <alignment vertical="center"/>
    </xf>
    <xf numFmtId="14" fontId="2" fillId="0" borderId="0" applyFont="0" applyFill="0" applyBorder="0">
      <alignment horizontal="center" vertical="center"/>
    </xf>
    <xf numFmtId="9" fontId="2" fillId="0" borderId="0" applyFont="0" applyFill="0" applyBorder="0" applyAlignment="0" applyProtection="0"/>
    <xf numFmtId="0" fontId="21" fillId="0" borderId="0" applyNumberFormat="0" applyFill="0" applyBorder="0" applyAlignment="0" applyProtection="0"/>
  </cellStyleXfs>
  <cellXfs count="291">
    <xf numFmtId="0" fontId="0" fillId="0" borderId="0" xfId="0"/>
    <xf numFmtId="49" fontId="0" fillId="0" borderId="0" xfId="0" applyNumberFormat="1" applyAlignment="1">
      <alignment horizontal="center"/>
    </xf>
    <xf numFmtId="0" fontId="1" fillId="0" borderId="0" xfId="0" applyFont="1" applyAlignment="1">
      <alignment horizontal="center"/>
    </xf>
    <xf numFmtId="0" fontId="0" fillId="0" borderId="0" xfId="0" applyAlignment="1">
      <alignment horizontal="center"/>
    </xf>
    <xf numFmtId="0" fontId="8" fillId="0" borderId="0" xfId="0" applyFont="1"/>
    <xf numFmtId="0" fontId="8" fillId="4" borderId="0" xfId="0" applyFont="1" applyFill="1" applyAlignment="1">
      <alignment vertical="center"/>
    </xf>
    <xf numFmtId="0" fontId="8" fillId="0" borderId="0" xfId="0" applyFont="1" applyAlignment="1">
      <alignment horizontal="center"/>
    </xf>
    <xf numFmtId="14" fontId="8" fillId="0" borderId="35" xfId="0" applyNumberFormat="1" applyFont="1" applyBorder="1" applyAlignment="1" applyProtection="1">
      <alignment horizontal="center"/>
      <protection locked="0"/>
    </xf>
    <xf numFmtId="0" fontId="8" fillId="0" borderId="21" xfId="0" applyFont="1" applyBorder="1" applyAlignment="1" applyProtection="1">
      <alignment horizontal="center"/>
      <protection locked="0"/>
    </xf>
    <xf numFmtId="14" fontId="8" fillId="0" borderId="20" xfId="0" applyNumberFormat="1" applyFont="1" applyBorder="1" applyAlignment="1" applyProtection="1">
      <alignment horizontal="center"/>
      <protection locked="0"/>
    </xf>
    <xf numFmtId="0" fontId="8" fillId="0" borderId="22" xfId="0" applyFont="1" applyBorder="1" applyAlignment="1" applyProtection="1">
      <alignment horizontal="center"/>
      <protection locked="0"/>
    </xf>
    <xf numFmtId="1" fontId="8" fillId="0" borderId="22" xfId="0" applyNumberFormat="1" applyFont="1" applyBorder="1" applyAlignment="1" applyProtection="1">
      <alignment horizontal="center"/>
      <protection locked="0"/>
    </xf>
    <xf numFmtId="14" fontId="8" fillId="0" borderId="24" xfId="0" applyNumberFormat="1" applyFont="1" applyBorder="1" applyAlignment="1" applyProtection="1">
      <alignment horizontal="center"/>
      <protection locked="0"/>
    </xf>
    <xf numFmtId="0" fontId="8" fillId="0" borderId="25" xfId="0" applyFont="1" applyBorder="1" applyAlignment="1" applyProtection="1">
      <alignment horizontal="center"/>
      <protection locked="0"/>
    </xf>
    <xf numFmtId="0" fontId="8" fillId="0" borderId="26" xfId="0" applyFont="1" applyBorder="1" applyAlignment="1" applyProtection="1">
      <alignment horizontal="center"/>
      <protection locked="0"/>
    </xf>
    <xf numFmtId="1" fontId="8" fillId="0" borderId="26" xfId="0" applyNumberFormat="1" applyFont="1" applyBorder="1" applyAlignment="1" applyProtection="1">
      <alignment horizontal="center"/>
      <protection locked="0"/>
    </xf>
    <xf numFmtId="49" fontId="0" fillId="0" borderId="0" xfId="0" applyNumberFormat="1"/>
    <xf numFmtId="49" fontId="10" fillId="0" borderId="0" xfId="0" applyNumberFormat="1" applyFont="1" applyAlignment="1">
      <alignment horizontal="left"/>
    </xf>
    <xf numFmtId="49" fontId="10" fillId="0" borderId="0" xfId="0" applyNumberFormat="1" applyFont="1"/>
    <xf numFmtId="49" fontId="0" fillId="0" borderId="0" xfId="0" applyNumberFormat="1" applyAlignment="1">
      <alignment vertical="top"/>
    </xf>
    <xf numFmtId="49" fontId="10" fillId="0" borderId="0" xfId="0" applyNumberFormat="1" applyFont="1" applyAlignment="1">
      <alignment vertical="top"/>
    </xf>
    <xf numFmtId="0" fontId="8" fillId="0" borderId="20" xfId="0" applyFont="1" applyBorder="1"/>
    <xf numFmtId="0" fontId="8" fillId="0" borderId="24" xfId="0" applyFont="1" applyBorder="1"/>
    <xf numFmtId="49" fontId="1" fillId="0" borderId="0" xfId="0" applyNumberFormat="1" applyFont="1"/>
    <xf numFmtId="49" fontId="1" fillId="0" borderId="0" xfId="0" applyNumberFormat="1" applyFont="1" applyAlignment="1">
      <alignment horizontal="left"/>
    </xf>
    <xf numFmtId="49" fontId="1" fillId="0" borderId="0" xfId="0" applyNumberFormat="1" applyFont="1" applyAlignment="1">
      <alignment vertical="top"/>
    </xf>
    <xf numFmtId="0" fontId="0" fillId="0" borderId="21" xfId="0" applyBorder="1"/>
    <xf numFmtId="0" fontId="1" fillId="0" borderId="0" xfId="0" applyFont="1"/>
    <xf numFmtId="0" fontId="6" fillId="4" borderId="0" xfId="0" applyFont="1" applyFill="1" applyAlignment="1">
      <alignment vertical="center"/>
    </xf>
    <xf numFmtId="0" fontId="6" fillId="3" borderId="21" xfId="0" applyFont="1" applyFill="1" applyBorder="1" applyAlignment="1">
      <alignment vertical="center"/>
    </xf>
    <xf numFmtId="49" fontId="8" fillId="3" borderId="21" xfId="0" applyNumberFormat="1" applyFont="1" applyFill="1" applyBorder="1" applyAlignment="1">
      <alignment horizontal="center" vertical="center"/>
    </xf>
    <xf numFmtId="0" fontId="8" fillId="0" borderId="28" xfId="0" applyFont="1" applyBorder="1" applyAlignment="1" applyProtection="1">
      <alignment horizontal="right"/>
      <protection locked="0"/>
    </xf>
    <xf numFmtId="0" fontId="8" fillId="0" borderId="9" xfId="0" applyFont="1" applyBorder="1"/>
    <xf numFmtId="0" fontId="8" fillId="0" borderId="23" xfId="0" applyFont="1" applyBorder="1"/>
    <xf numFmtId="0" fontId="8" fillId="0" borderId="27" xfId="0" applyFont="1" applyBorder="1"/>
    <xf numFmtId="0" fontId="8" fillId="0" borderId="35" xfId="0" applyFont="1" applyBorder="1"/>
    <xf numFmtId="0" fontId="8" fillId="0" borderId="32" xfId="0" applyFont="1" applyBorder="1"/>
    <xf numFmtId="0" fontId="8" fillId="3" borderId="21" xfId="0" applyFont="1" applyFill="1" applyBorder="1" applyAlignment="1">
      <alignment horizontal="center" vertical="center"/>
    </xf>
    <xf numFmtId="49" fontId="1" fillId="0" borderId="21" xfId="0" applyNumberFormat="1" applyFont="1" applyBorder="1" applyAlignment="1">
      <alignment horizontal="center" vertical="center"/>
    </xf>
    <xf numFmtId="49" fontId="1" fillId="0" borderId="21" xfId="0" applyNumberFormat="1" applyFont="1" applyBorder="1"/>
    <xf numFmtId="0" fontId="9" fillId="4" borderId="45" xfId="0" applyFont="1" applyFill="1" applyBorder="1"/>
    <xf numFmtId="0" fontId="9" fillId="4" borderId="36" xfId="0" applyFont="1" applyFill="1" applyBorder="1"/>
    <xf numFmtId="0" fontId="9" fillId="4" borderId="37" xfId="0" applyFont="1" applyFill="1" applyBorder="1"/>
    <xf numFmtId="0" fontId="9" fillId="4" borderId="7" xfId="0" applyFont="1" applyFill="1" applyBorder="1"/>
    <xf numFmtId="0" fontId="13" fillId="0" borderId="0" xfId="0" applyFont="1"/>
    <xf numFmtId="0" fontId="8" fillId="0" borderId="16" xfId="0" applyFont="1" applyBorder="1"/>
    <xf numFmtId="0" fontId="6" fillId="4" borderId="24" xfId="0" applyFont="1" applyFill="1" applyBorder="1" applyAlignment="1">
      <alignment horizontal="center"/>
    </xf>
    <xf numFmtId="0" fontId="11" fillId="0" borderId="21" xfId="0" applyFont="1" applyBorder="1"/>
    <xf numFmtId="15" fontId="0" fillId="0" borderId="21" xfId="0" applyNumberFormat="1" applyBorder="1"/>
    <xf numFmtId="0" fontId="6" fillId="0" borderId="20" xfId="0" applyFont="1" applyBorder="1" applyAlignment="1">
      <alignment vertical="center"/>
    </xf>
    <xf numFmtId="0" fontId="6" fillId="0" borderId="24" xfId="0" applyFont="1" applyBorder="1" applyAlignment="1">
      <alignment vertical="center"/>
    </xf>
    <xf numFmtId="0" fontId="8" fillId="0" borderId="8" xfId="0" applyFont="1" applyBorder="1"/>
    <xf numFmtId="0" fontId="6" fillId="0" borderId="51" xfId="0" applyFont="1" applyBorder="1"/>
    <xf numFmtId="0" fontId="14" fillId="6" borderId="38" xfId="0" applyFont="1" applyFill="1" applyBorder="1" applyAlignment="1">
      <alignment horizontal="center"/>
    </xf>
    <xf numFmtId="0" fontId="14" fillId="6" borderId="44" xfId="0" applyFont="1" applyFill="1" applyBorder="1" applyAlignment="1">
      <alignment horizontal="center"/>
    </xf>
    <xf numFmtId="0" fontId="14" fillId="6" borderId="44" xfId="0" applyFont="1" applyFill="1" applyBorder="1" applyAlignment="1">
      <alignment horizontal="center" wrapText="1"/>
    </xf>
    <xf numFmtId="0" fontId="14" fillId="0" borderId="35" xfId="0" applyFont="1" applyBorder="1"/>
    <xf numFmtId="0" fontId="14" fillId="0" borderId="20" xfId="0" applyFont="1" applyBorder="1"/>
    <xf numFmtId="14" fontId="0" fillId="0" borderId="21" xfId="0" applyNumberFormat="1" applyBorder="1"/>
    <xf numFmtId="0" fontId="16" fillId="0" borderId="0" xfId="0" applyFont="1"/>
    <xf numFmtId="0" fontId="0" fillId="0" borderId="21" xfId="0" applyBorder="1" applyAlignment="1">
      <alignment shrinkToFit="1"/>
    </xf>
    <xf numFmtId="14" fontId="8" fillId="0" borderId="20" xfId="0" applyNumberFormat="1" applyFont="1" applyBorder="1" applyAlignment="1">
      <alignment horizontal="center"/>
    </xf>
    <xf numFmtId="0" fontId="8" fillId="0" borderId="20" xfId="0" applyFont="1" applyBorder="1" applyAlignment="1">
      <alignment horizontal="center"/>
    </xf>
    <xf numFmtId="0" fontId="8" fillId="0" borderId="35" xfId="0" applyFont="1" applyBorder="1" applyAlignment="1">
      <alignment horizontal="center"/>
    </xf>
    <xf numFmtId="0" fontId="8" fillId="0" borderId="24" xfId="0" applyFont="1" applyBorder="1" applyAlignment="1">
      <alignment horizontal="center"/>
    </xf>
    <xf numFmtId="16" fontId="8" fillId="0" borderId="0" xfId="0" applyNumberFormat="1" applyFont="1"/>
    <xf numFmtId="0" fontId="6" fillId="4" borderId="2" xfId="0" applyFont="1" applyFill="1" applyBorder="1" applyAlignment="1">
      <alignment horizontal="center"/>
    </xf>
    <xf numFmtId="0" fontId="1" fillId="0" borderId="21" xfId="0" applyFont="1" applyBorder="1" applyAlignment="1" applyProtection="1">
      <alignment horizontal="center"/>
      <protection locked="0"/>
    </xf>
    <xf numFmtId="0" fontId="0" fillId="0" borderId="21" xfId="0" applyBorder="1" applyAlignment="1" applyProtection="1">
      <alignment horizontal="center"/>
      <protection locked="0"/>
    </xf>
    <xf numFmtId="49" fontId="1" fillId="0" borderId="21" xfId="0" applyNumberFormat="1" applyFont="1" applyBorder="1" applyAlignment="1" applyProtection="1">
      <alignment horizontal="center"/>
      <protection locked="0"/>
    </xf>
    <xf numFmtId="2" fontId="1" fillId="0" borderId="21" xfId="0" applyNumberFormat="1" applyFont="1" applyBorder="1" applyAlignment="1" applyProtection="1">
      <alignment horizontal="center"/>
      <protection locked="0"/>
    </xf>
    <xf numFmtId="0" fontId="8" fillId="0" borderId="21" xfId="0" applyFont="1" applyBorder="1" applyAlignment="1">
      <alignment horizontal="center"/>
    </xf>
    <xf numFmtId="0" fontId="8" fillId="0" borderId="25" xfId="0" applyFont="1" applyBorder="1" applyAlignment="1">
      <alignment horizontal="center"/>
    </xf>
    <xf numFmtId="0" fontId="0" fillId="7" borderId="21" xfId="0" applyFill="1" applyBorder="1" applyAlignment="1">
      <alignment horizontal="center" vertical="center"/>
    </xf>
    <xf numFmtId="0" fontId="9" fillId="4" borderId="7" xfId="0" applyFont="1" applyFill="1" applyBorder="1" applyAlignment="1">
      <alignment horizontal="center"/>
    </xf>
    <xf numFmtId="0" fontId="9" fillId="4" borderId="25" xfId="0" applyFont="1" applyFill="1" applyBorder="1" applyAlignment="1">
      <alignment horizontal="center" vertical="center"/>
    </xf>
    <xf numFmtId="0" fontId="9" fillId="4" borderId="27" xfId="0" applyFont="1" applyFill="1" applyBorder="1" applyAlignment="1">
      <alignment horizontal="center" vertical="center"/>
    </xf>
    <xf numFmtId="14" fontId="8" fillId="0" borderId="55" xfId="0" applyNumberFormat="1" applyFont="1" applyBorder="1" applyAlignment="1" applyProtection="1">
      <alignment horizontal="center"/>
      <protection locked="0"/>
    </xf>
    <xf numFmtId="0" fontId="8" fillId="0" borderId="29" xfId="0" applyFont="1" applyBorder="1" applyAlignment="1" applyProtection="1">
      <alignment horizontal="center"/>
      <protection locked="0"/>
    </xf>
    <xf numFmtId="0" fontId="8" fillId="0" borderId="30" xfId="0" applyFont="1" applyBorder="1" applyAlignment="1" applyProtection="1">
      <alignment horizontal="center"/>
      <protection locked="0"/>
    </xf>
    <xf numFmtId="3" fontId="8" fillId="0" borderId="30" xfId="0" applyNumberFormat="1" applyFont="1" applyBorder="1" applyAlignment="1" applyProtection="1">
      <alignment horizontal="center"/>
      <protection locked="0"/>
    </xf>
    <xf numFmtId="1" fontId="8" fillId="0" borderId="30" xfId="0" applyNumberFormat="1" applyFont="1" applyBorder="1" applyAlignment="1" applyProtection="1">
      <alignment horizontal="center"/>
      <protection locked="0"/>
    </xf>
    <xf numFmtId="0" fontId="8" fillId="0" borderId="56" xfId="0" applyFont="1" applyBorder="1" applyAlignment="1" applyProtection="1">
      <alignment horizontal="center"/>
      <protection locked="0"/>
    </xf>
    <xf numFmtId="14" fontId="8" fillId="0" borderId="28" xfId="0" applyNumberFormat="1" applyFont="1" applyBorder="1" applyAlignment="1" applyProtection="1">
      <alignment horizontal="center"/>
      <protection locked="0"/>
    </xf>
    <xf numFmtId="3" fontId="8" fillId="0" borderId="22" xfId="0" applyNumberFormat="1" applyFont="1" applyBorder="1" applyAlignment="1" applyProtection="1">
      <alignment horizontal="center"/>
      <protection locked="0"/>
    </xf>
    <xf numFmtId="14" fontId="8" fillId="0" borderId="53" xfId="0" applyNumberFormat="1" applyFont="1" applyBorder="1" applyAlignment="1" applyProtection="1">
      <alignment horizontal="center"/>
      <protection locked="0"/>
    </xf>
    <xf numFmtId="0" fontId="6" fillId="0" borderId="0" xfId="0" applyFont="1" applyAlignment="1">
      <alignment horizontal="center"/>
    </xf>
    <xf numFmtId="3" fontId="8" fillId="2" borderId="2" xfId="0" applyNumberFormat="1" applyFont="1" applyFill="1" applyBorder="1" applyAlignment="1">
      <alignment horizontal="center"/>
    </xf>
    <xf numFmtId="1" fontId="8" fillId="2" borderId="1" xfId="0" applyNumberFormat="1" applyFont="1" applyFill="1" applyBorder="1" applyAlignment="1">
      <alignment horizontal="center"/>
    </xf>
    <xf numFmtId="0" fontId="9" fillId="4" borderId="20" xfId="0" applyFont="1" applyFill="1" applyBorder="1" applyAlignment="1">
      <alignment horizontal="center"/>
    </xf>
    <xf numFmtId="0" fontId="9" fillId="4" borderId="28" xfId="0" applyFont="1" applyFill="1" applyBorder="1" applyAlignment="1">
      <alignment horizontal="center"/>
    </xf>
    <xf numFmtId="0" fontId="9" fillId="4" borderId="21" xfId="0" applyFont="1" applyFill="1" applyBorder="1" applyAlignment="1">
      <alignment horizontal="center"/>
    </xf>
    <xf numFmtId="0" fontId="18" fillId="0" borderId="0" xfId="0" applyFont="1" applyAlignment="1">
      <alignment horizontal="center"/>
    </xf>
    <xf numFmtId="14" fontId="1" fillId="0" borderId="20" xfId="0" applyNumberFormat="1" applyFont="1" applyBorder="1" applyAlignment="1" applyProtection="1">
      <alignment horizontal="center"/>
      <protection locked="0"/>
    </xf>
    <xf numFmtId="14" fontId="1" fillId="0" borderId="28" xfId="0" applyNumberFormat="1" applyFont="1" applyBorder="1" applyAlignment="1" applyProtection="1">
      <alignment horizontal="center"/>
      <protection locked="0"/>
    </xf>
    <xf numFmtId="14" fontId="1" fillId="0" borderId="24" xfId="0" applyNumberFormat="1" applyFont="1" applyBorder="1" applyAlignment="1" applyProtection="1">
      <alignment horizontal="center"/>
      <protection locked="0"/>
    </xf>
    <xf numFmtId="14" fontId="1" fillId="0" borderId="53" xfId="0" applyNumberFormat="1" applyFont="1" applyBorder="1" applyAlignment="1" applyProtection="1">
      <alignment horizontal="center"/>
      <protection locked="0"/>
    </xf>
    <xf numFmtId="49" fontId="1" fillId="0" borderId="25" xfId="0" applyNumberFormat="1" applyFont="1" applyBorder="1" applyAlignment="1" applyProtection="1">
      <alignment horizontal="center"/>
      <protection locked="0"/>
    </xf>
    <xf numFmtId="0" fontId="1" fillId="0" borderId="25" xfId="0" applyFont="1" applyBorder="1" applyAlignment="1" applyProtection="1">
      <alignment horizontal="center"/>
      <protection locked="0"/>
    </xf>
    <xf numFmtId="49" fontId="8" fillId="7" borderId="16" xfId="0" applyNumberFormat="1" applyFont="1" applyFill="1" applyBorder="1" applyAlignment="1">
      <alignment horizontal="center"/>
    </xf>
    <xf numFmtId="49" fontId="8" fillId="7" borderId="17" xfId="0" applyNumberFormat="1" applyFont="1" applyFill="1" applyBorder="1" applyAlignment="1">
      <alignment horizontal="center"/>
    </xf>
    <xf numFmtId="49" fontId="8" fillId="7" borderId="19" xfId="0" applyNumberFormat="1" applyFont="1" applyFill="1" applyBorder="1" applyAlignment="1">
      <alignment horizontal="center"/>
    </xf>
    <xf numFmtId="0" fontId="8" fillId="7" borderId="20" xfId="0" applyFont="1" applyFill="1" applyBorder="1" applyAlignment="1">
      <alignment horizontal="center"/>
    </xf>
    <xf numFmtId="0" fontId="8" fillId="7" borderId="21" xfId="0" applyFont="1" applyFill="1" applyBorder="1" applyAlignment="1">
      <alignment horizontal="center"/>
    </xf>
    <xf numFmtId="0" fontId="8" fillId="7" borderId="23" xfId="0" applyFont="1" applyFill="1" applyBorder="1" applyAlignment="1">
      <alignment horizontal="center"/>
    </xf>
    <xf numFmtId="0" fontId="8" fillId="7" borderId="20" xfId="0" applyFont="1" applyFill="1" applyBorder="1" applyAlignment="1" applyProtection="1">
      <alignment horizontal="right"/>
      <protection locked="0"/>
    </xf>
    <xf numFmtId="0" fontId="8" fillId="7" borderId="21" xfId="0" applyFont="1" applyFill="1" applyBorder="1" applyAlignment="1" applyProtection="1">
      <alignment horizontal="right"/>
      <protection locked="0"/>
    </xf>
    <xf numFmtId="0" fontId="8" fillId="7" borderId="23" xfId="0" applyFont="1" applyFill="1" applyBorder="1" applyAlignment="1" applyProtection="1">
      <alignment horizontal="right"/>
      <protection locked="0"/>
    </xf>
    <xf numFmtId="0" fontId="8" fillId="7" borderId="24" xfId="0" applyFont="1" applyFill="1" applyBorder="1" applyProtection="1">
      <protection locked="0"/>
    </xf>
    <xf numFmtId="0" fontId="8" fillId="7" borderId="25" xfId="0" applyFont="1" applyFill="1" applyBorder="1" applyProtection="1">
      <protection locked="0"/>
    </xf>
    <xf numFmtId="0" fontId="8" fillId="7" borderId="27" xfId="0" applyFont="1" applyFill="1" applyBorder="1" applyProtection="1">
      <protection locked="0"/>
    </xf>
    <xf numFmtId="14" fontId="8" fillId="0" borderId="24" xfId="0" applyNumberFormat="1" applyFont="1" applyBorder="1" applyAlignment="1">
      <alignment horizontal="center"/>
    </xf>
    <xf numFmtId="0" fontId="8" fillId="0" borderId="8" xfId="0" applyFont="1" applyBorder="1" applyAlignment="1">
      <alignment vertical="top" wrapText="1"/>
    </xf>
    <xf numFmtId="0" fontId="8" fillId="0" borderId="0" xfId="0" applyFont="1" applyAlignment="1">
      <alignment vertical="top" wrapText="1"/>
    </xf>
    <xf numFmtId="0" fontId="14" fillId="6" borderId="41" xfId="0" applyFont="1" applyFill="1" applyBorder="1" applyAlignment="1">
      <alignment horizontal="center"/>
    </xf>
    <xf numFmtId="0" fontId="14" fillId="6" borderId="43" xfId="0" applyFont="1" applyFill="1" applyBorder="1" applyAlignment="1">
      <alignment horizontal="center"/>
    </xf>
    <xf numFmtId="0" fontId="14" fillId="6" borderId="43" xfId="0" applyFont="1" applyFill="1" applyBorder="1" applyAlignment="1">
      <alignment horizontal="center" wrapText="1"/>
    </xf>
    <xf numFmtId="0" fontId="8" fillId="0" borderId="0" xfId="0" applyFont="1" applyBorder="1"/>
    <xf numFmtId="0" fontId="14" fillId="6" borderId="58" xfId="0" applyFont="1" applyFill="1" applyBorder="1" applyAlignment="1">
      <alignment horizontal="center" wrapText="1"/>
    </xf>
    <xf numFmtId="0" fontId="14" fillId="6" borderId="54" xfId="0" applyFont="1" applyFill="1" applyBorder="1" applyAlignment="1">
      <alignment horizontal="center" wrapText="1"/>
    </xf>
    <xf numFmtId="0" fontId="15" fillId="7" borderId="29" xfId="0" applyFont="1" applyFill="1" applyBorder="1"/>
    <xf numFmtId="3" fontId="15" fillId="7" borderId="21" xfId="0" applyNumberFormat="1" applyFont="1" applyFill="1" applyBorder="1"/>
    <xf numFmtId="0" fontId="15" fillId="7" borderId="30" xfId="0" applyFont="1" applyFill="1" applyBorder="1"/>
    <xf numFmtId="0" fontId="15" fillId="7" borderId="21" xfId="0" applyFont="1" applyFill="1" applyBorder="1"/>
    <xf numFmtId="4" fontId="15" fillId="7" borderId="29" xfId="0" applyNumberFormat="1" applyFont="1" applyFill="1" applyBorder="1"/>
    <xf numFmtId="0" fontId="15" fillId="7" borderId="22" xfId="0" applyFont="1" applyFill="1" applyBorder="1"/>
    <xf numFmtId="0" fontId="8" fillId="0" borderId="18" xfId="0" applyFont="1" applyBorder="1"/>
    <xf numFmtId="0" fontId="8" fillId="0" borderId="22" xfId="0" applyFont="1" applyBorder="1"/>
    <xf numFmtId="0" fontId="8" fillId="0" borderId="30" xfId="0" applyFont="1" applyBorder="1"/>
    <xf numFmtId="0" fontId="8" fillId="0" borderId="21" xfId="0" applyFont="1" applyBorder="1" applyAlignment="1">
      <alignment horizontal="center" shrinkToFit="1"/>
    </xf>
    <xf numFmtId="3" fontId="8" fillId="0" borderId="21" xfId="0" applyNumberFormat="1" applyFont="1" applyBorder="1" applyAlignment="1">
      <alignment horizontal="center"/>
    </xf>
    <xf numFmtId="0" fontId="8" fillId="0" borderId="21" xfId="0" quotePrefix="1" applyFont="1" applyBorder="1" applyAlignment="1">
      <alignment horizontal="center"/>
    </xf>
    <xf numFmtId="0" fontId="8" fillId="0" borderId="25" xfId="0" applyFont="1" applyBorder="1" applyAlignment="1">
      <alignment horizontal="center" shrinkToFit="1"/>
    </xf>
    <xf numFmtId="0" fontId="9" fillId="4" borderId="38" xfId="0" applyFont="1" applyFill="1" applyBorder="1" applyAlignment="1">
      <alignment horizontal="center"/>
    </xf>
    <xf numFmtId="0" fontId="9" fillId="4" borderId="44" xfId="0" applyFont="1" applyFill="1" applyBorder="1" applyAlignment="1">
      <alignment horizontal="center"/>
    </xf>
    <xf numFmtId="0" fontId="9" fillId="4" borderId="58" xfId="0" applyFont="1" applyFill="1" applyBorder="1" applyAlignment="1">
      <alignment horizontal="center"/>
    </xf>
    <xf numFmtId="0" fontId="9" fillId="4" borderId="39" xfId="0" applyFont="1" applyFill="1" applyBorder="1" applyAlignment="1">
      <alignment horizontal="center"/>
    </xf>
    <xf numFmtId="0" fontId="8" fillId="0" borderId="55" xfId="0" applyFont="1" applyBorder="1" applyAlignment="1" applyProtection="1">
      <alignment horizontal="right"/>
      <protection locked="0"/>
    </xf>
    <xf numFmtId="0" fontId="8" fillId="7" borderId="29" xfId="0" applyFont="1" applyFill="1" applyBorder="1" applyAlignment="1" applyProtection="1">
      <alignment horizontal="right"/>
      <protection locked="0"/>
    </xf>
    <xf numFmtId="9" fontId="8" fillId="7" borderId="30" xfId="3" applyFont="1" applyFill="1" applyBorder="1" applyAlignment="1" applyProtection="1">
      <alignment horizontal="right"/>
      <protection locked="0"/>
    </xf>
    <xf numFmtId="0" fontId="8" fillId="7" borderId="30" xfId="0" applyFont="1" applyFill="1" applyBorder="1" applyAlignment="1" applyProtection="1">
      <alignment horizontal="right"/>
      <protection locked="0"/>
    </xf>
    <xf numFmtId="0" fontId="8" fillId="7" borderId="42" xfId="0" applyFont="1" applyFill="1" applyBorder="1" applyAlignment="1" applyProtection="1">
      <alignment horizontal="right"/>
      <protection locked="0"/>
    </xf>
    <xf numFmtId="9" fontId="8" fillId="7" borderId="22" xfId="0" applyNumberFormat="1" applyFont="1" applyFill="1" applyBorder="1" applyAlignment="1" applyProtection="1">
      <alignment horizontal="right"/>
      <protection locked="0"/>
    </xf>
    <xf numFmtId="0" fontId="8" fillId="7" borderId="22" xfId="0" applyFont="1" applyFill="1" applyBorder="1" applyAlignment="1" applyProtection="1">
      <alignment horizontal="right"/>
      <protection locked="0"/>
    </xf>
    <xf numFmtId="0" fontId="8" fillId="0" borderId="53" xfId="0" applyFont="1" applyBorder="1" applyAlignment="1" applyProtection="1">
      <alignment horizontal="right"/>
      <protection locked="0"/>
    </xf>
    <xf numFmtId="0" fontId="8" fillId="7" borderId="25" xfId="0" applyFont="1" applyFill="1" applyBorder="1" applyAlignment="1" applyProtection="1">
      <alignment horizontal="right"/>
      <protection locked="0"/>
    </xf>
    <xf numFmtId="9" fontId="8" fillId="7" borderId="26" xfId="0" applyNumberFormat="1" applyFont="1" applyFill="1" applyBorder="1" applyAlignment="1" applyProtection="1">
      <alignment horizontal="right"/>
      <protection locked="0"/>
    </xf>
    <xf numFmtId="0" fontId="8" fillId="7" borderId="26" xfId="0" applyFont="1" applyFill="1" applyBorder="1" applyAlignment="1" applyProtection="1">
      <alignment horizontal="right"/>
      <protection locked="0"/>
    </xf>
    <xf numFmtId="0" fontId="8" fillId="7" borderId="27" xfId="0" applyFont="1" applyFill="1" applyBorder="1" applyAlignment="1" applyProtection="1">
      <alignment horizontal="right"/>
      <protection locked="0"/>
    </xf>
    <xf numFmtId="0" fontId="6" fillId="4" borderId="46" xfId="0" applyFont="1" applyFill="1" applyBorder="1" applyAlignment="1">
      <alignment horizontal="center"/>
    </xf>
    <xf numFmtId="0" fontId="6" fillId="4" borderId="31" xfId="0" applyFont="1" applyFill="1" applyBorder="1" applyAlignment="1">
      <alignment horizontal="center"/>
    </xf>
    <xf numFmtId="0" fontId="7" fillId="5" borderId="5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0" xfId="0" applyFont="1" applyFill="1" applyBorder="1" applyAlignment="1">
      <alignment horizontal="center" vertical="center" wrapText="1"/>
    </xf>
    <xf numFmtId="0" fontId="7" fillId="5" borderId="56" xfId="0" applyFont="1" applyFill="1" applyBorder="1" applyAlignment="1">
      <alignment horizontal="center" vertical="center" wrapText="1"/>
    </xf>
    <xf numFmtId="0" fontId="7" fillId="4" borderId="38" xfId="0" applyFont="1" applyFill="1" applyBorder="1" applyAlignment="1">
      <alignment horizontal="center" vertical="center"/>
    </xf>
    <xf numFmtId="0" fontId="7" fillId="4" borderId="44" xfId="0" applyFont="1" applyFill="1" applyBorder="1" applyAlignment="1">
      <alignment horizontal="center" vertical="center"/>
    </xf>
    <xf numFmtId="0" fontId="7" fillId="4" borderId="39" xfId="0" applyFont="1" applyFill="1" applyBorder="1" applyAlignment="1">
      <alignment horizontal="center" vertical="center"/>
    </xf>
    <xf numFmtId="0" fontId="8" fillId="7" borderId="49" xfId="0" applyFont="1" applyFill="1" applyBorder="1"/>
    <xf numFmtId="0" fontId="8" fillId="7" borderId="45" xfId="0" applyFont="1" applyFill="1" applyBorder="1"/>
    <xf numFmtId="0" fontId="8" fillId="7" borderId="19" xfId="0" applyFont="1" applyFill="1" applyBorder="1"/>
    <xf numFmtId="0" fontId="8" fillId="7" borderId="50" xfId="0" applyFont="1" applyFill="1" applyBorder="1"/>
    <xf numFmtId="0" fontId="8" fillId="7" borderId="37" xfId="0" applyFont="1" applyFill="1" applyBorder="1"/>
    <xf numFmtId="0" fontId="8" fillId="7" borderId="27" xfId="0" applyFont="1" applyFill="1" applyBorder="1"/>
    <xf numFmtId="2" fontId="8" fillId="0" borderId="11" xfId="0" applyNumberFormat="1" applyFont="1" applyBorder="1" applyAlignment="1">
      <alignment horizontal="center"/>
    </xf>
    <xf numFmtId="2" fontId="8" fillId="0" borderId="40" xfId="0" applyNumberFormat="1" applyFont="1" applyBorder="1" applyAlignment="1">
      <alignment horizontal="center"/>
    </xf>
    <xf numFmtId="2" fontId="8" fillId="0" borderId="10" xfId="0" applyNumberFormat="1" applyFont="1" applyBorder="1" applyAlignment="1">
      <alignment horizontal="center"/>
    </xf>
    <xf numFmtId="2" fontId="8" fillId="0" borderId="7" xfId="0" applyNumberFormat="1" applyFont="1" applyBorder="1" applyAlignment="1">
      <alignment horizontal="center"/>
    </xf>
    <xf numFmtId="0" fontId="23" fillId="0" borderId="21" xfId="4" applyFont="1" applyBorder="1" applyAlignment="1">
      <alignment horizontal="center" vertical="center"/>
    </xf>
    <xf numFmtId="0" fontId="0" fillId="0" borderId="21" xfId="0" applyBorder="1" applyAlignment="1">
      <alignment horizontal="center"/>
    </xf>
    <xf numFmtId="49" fontId="0" fillId="7" borderId="22" xfId="0" applyNumberFormat="1" applyFill="1" applyBorder="1" applyAlignment="1">
      <alignment horizontal="center"/>
    </xf>
    <xf numFmtId="49" fontId="0" fillId="7" borderId="28" xfId="0" applyNumberFormat="1" applyFill="1" applyBorder="1" applyAlignment="1">
      <alignment horizontal="center"/>
    </xf>
    <xf numFmtId="49" fontId="0" fillId="7" borderId="21" xfId="0" applyNumberFormat="1" applyFill="1" applyBorder="1" applyAlignment="1">
      <alignment horizontal="center"/>
    </xf>
    <xf numFmtId="49" fontId="0" fillId="0" borderId="11" xfId="0" applyNumberFormat="1" applyBorder="1" applyAlignment="1">
      <alignment horizontal="center"/>
    </xf>
    <xf numFmtId="49" fontId="1" fillId="0" borderId="22" xfId="0" applyNumberFormat="1" applyFont="1" applyBorder="1" applyAlignment="1">
      <alignment horizontal="center"/>
    </xf>
    <xf numFmtId="49" fontId="1" fillId="0" borderId="28" xfId="0" applyNumberFormat="1" applyFont="1" applyBorder="1" applyAlignment="1">
      <alignment horizontal="center"/>
    </xf>
    <xf numFmtId="49" fontId="1" fillId="0" borderId="21" xfId="0" applyNumberFormat="1" applyFont="1" applyBorder="1" applyAlignment="1">
      <alignment horizontal="center"/>
    </xf>
    <xf numFmtId="0" fontId="0" fillId="0" borderId="12" xfId="0" applyBorder="1" applyAlignment="1">
      <alignment horizontal="center"/>
    </xf>
    <xf numFmtId="49" fontId="0" fillId="7" borderId="12" xfId="0" applyNumberFormat="1" applyFill="1" applyBorder="1" applyAlignment="1">
      <alignment horizontal="center"/>
    </xf>
    <xf numFmtId="49" fontId="0" fillId="7" borderId="9" xfId="0" applyNumberFormat="1" applyFill="1" applyBorder="1" applyAlignment="1">
      <alignment horizontal="center" vertical="top" wrapText="1"/>
    </xf>
    <xf numFmtId="49" fontId="0" fillId="7" borderId="8" xfId="0" applyNumberFormat="1" applyFill="1" applyBorder="1" applyAlignment="1">
      <alignment horizontal="center" vertical="top"/>
    </xf>
    <xf numFmtId="49" fontId="0" fillId="7" borderId="31" xfId="0" applyNumberFormat="1" applyFill="1" applyBorder="1" applyAlignment="1">
      <alignment horizontal="center" vertical="top"/>
    </xf>
    <xf numFmtId="49" fontId="0" fillId="7" borderId="32" xfId="0" applyNumberFormat="1" applyFill="1" applyBorder="1" applyAlignment="1">
      <alignment horizontal="center" vertical="top"/>
    </xf>
    <xf numFmtId="49" fontId="0" fillId="7" borderId="0" xfId="0" applyNumberFormat="1" applyFill="1" applyAlignment="1">
      <alignment horizontal="center" vertical="top"/>
    </xf>
    <xf numFmtId="49" fontId="0" fillId="7" borderId="33" xfId="0" applyNumberFormat="1" applyFill="1" applyBorder="1" applyAlignment="1">
      <alignment horizontal="center" vertical="top"/>
    </xf>
    <xf numFmtId="49" fontId="0" fillId="7" borderId="5" xfId="0" applyNumberFormat="1" applyFill="1" applyBorder="1" applyAlignment="1">
      <alignment horizontal="center" vertical="top"/>
    </xf>
    <xf numFmtId="49" fontId="0" fillId="7" borderId="10" xfId="0" applyNumberFormat="1" applyFill="1" applyBorder="1" applyAlignment="1">
      <alignment horizontal="center" vertical="top"/>
    </xf>
    <xf numFmtId="49" fontId="0" fillId="7" borderId="6" xfId="0" applyNumberFormat="1" applyFill="1" applyBorder="1" applyAlignment="1">
      <alignment horizontal="center" vertical="top"/>
    </xf>
    <xf numFmtId="0" fontId="0" fillId="7" borderId="11" xfId="0" applyFill="1" applyBorder="1" applyAlignment="1">
      <alignment horizontal="center"/>
    </xf>
    <xf numFmtId="49" fontId="1" fillId="0" borderId="0" xfId="0" applyNumberFormat="1" applyFont="1" applyAlignment="1">
      <alignment horizontal="center" vertical="center"/>
    </xf>
    <xf numFmtId="49" fontId="0" fillId="7" borderId="11" xfId="0" applyNumberFormat="1" applyFill="1" applyBorder="1" applyAlignment="1">
      <alignment horizontal="center" shrinkToFit="1"/>
    </xf>
    <xf numFmtId="49" fontId="0" fillId="7" borderId="11" xfId="0" applyNumberFormat="1" applyFill="1" applyBorder="1" applyAlignment="1">
      <alignment horizontal="center"/>
    </xf>
    <xf numFmtId="0" fontId="0" fillId="7" borderId="12" xfId="0" applyFill="1" applyBorder="1" applyAlignment="1">
      <alignment horizontal="center"/>
    </xf>
    <xf numFmtId="49" fontId="0" fillId="7" borderId="11" xfId="0" applyNumberFormat="1" applyFill="1" applyBorder="1" applyAlignment="1">
      <alignment horizontal="center" vertical="top" shrinkToFit="1"/>
    </xf>
    <xf numFmtId="49" fontId="0" fillId="7" borderId="11" xfId="0" applyNumberFormat="1" applyFill="1" applyBorder="1" applyAlignment="1">
      <alignment horizontal="center" vertical="top"/>
    </xf>
    <xf numFmtId="0" fontId="6" fillId="0" borderId="0" xfId="0" applyFont="1" applyAlignment="1">
      <alignment horizontal="center"/>
    </xf>
    <xf numFmtId="0" fontId="15" fillId="0" borderId="24" xfId="0" applyFont="1" applyBorder="1" applyAlignment="1">
      <alignment horizontal="center"/>
    </xf>
    <xf numFmtId="0" fontId="15" fillId="0" borderId="27" xfId="0" applyFont="1" applyBorder="1" applyAlignment="1">
      <alignment horizontal="center"/>
    </xf>
    <xf numFmtId="0" fontId="14" fillId="6" borderId="2" xfId="0" applyFont="1" applyFill="1" applyBorder="1" applyAlignment="1">
      <alignment horizontal="center"/>
    </xf>
    <xf numFmtId="0" fontId="14" fillId="6" borderId="3" xfId="0" applyFont="1" applyFill="1" applyBorder="1" applyAlignment="1">
      <alignment horizontal="center"/>
    </xf>
    <xf numFmtId="0" fontId="14" fillId="6" borderId="4" xfId="0" applyFont="1" applyFill="1" applyBorder="1" applyAlignment="1">
      <alignment horizontal="center"/>
    </xf>
    <xf numFmtId="0" fontId="9" fillId="4" borderId="2" xfId="0" applyFont="1" applyFill="1" applyBorder="1" applyAlignment="1">
      <alignment horizontal="center" vertical="center"/>
    </xf>
    <xf numFmtId="0" fontId="9" fillId="4" borderId="3" xfId="0" applyFont="1" applyFill="1" applyBorder="1" applyAlignment="1">
      <alignment horizontal="center" vertical="center"/>
    </xf>
    <xf numFmtId="0" fontId="9" fillId="4" borderId="4" xfId="0" applyFont="1" applyFill="1" applyBorder="1" applyAlignment="1">
      <alignment horizontal="center" vertical="center"/>
    </xf>
    <xf numFmtId="0" fontId="9" fillId="3" borderId="2" xfId="0" applyFont="1" applyFill="1" applyBorder="1" applyAlignment="1">
      <alignment horizontal="center"/>
    </xf>
    <xf numFmtId="0" fontId="9" fillId="3" borderId="3" xfId="0" applyFont="1" applyFill="1" applyBorder="1" applyAlignment="1">
      <alignment horizontal="center"/>
    </xf>
    <xf numFmtId="0" fontId="8" fillId="0" borderId="9" xfId="0" applyFont="1" applyBorder="1" applyAlignment="1">
      <alignment horizontal="left" vertical="top"/>
    </xf>
    <xf numFmtId="0" fontId="8" fillId="0" borderId="8" xfId="0" applyFont="1" applyBorder="1" applyAlignment="1">
      <alignment horizontal="left" vertical="top"/>
    </xf>
    <xf numFmtId="0" fontId="8" fillId="0" borderId="31" xfId="0" applyFont="1" applyBorder="1" applyAlignment="1">
      <alignment horizontal="left" vertical="top"/>
    </xf>
    <xf numFmtId="0" fontId="8" fillId="0" borderId="32" xfId="0" applyFont="1" applyBorder="1" applyAlignment="1">
      <alignment horizontal="left" vertical="top"/>
    </xf>
    <xf numFmtId="0" fontId="8" fillId="0" borderId="0" xfId="0" applyFont="1" applyBorder="1" applyAlignment="1">
      <alignment horizontal="left" vertical="top"/>
    </xf>
    <xf numFmtId="0" fontId="8" fillId="0" borderId="33" xfId="0" applyFont="1" applyBorder="1" applyAlignment="1">
      <alignment horizontal="left" vertical="top"/>
    </xf>
    <xf numFmtId="0" fontId="8" fillId="0" borderId="5" xfId="0" applyFont="1" applyBorder="1" applyAlignment="1">
      <alignment horizontal="left" vertical="top"/>
    </xf>
    <xf numFmtId="0" fontId="8" fillId="0" borderId="10" xfId="0" applyFont="1" applyBorder="1" applyAlignment="1">
      <alignment horizontal="left" vertical="top"/>
    </xf>
    <xf numFmtId="0" fontId="8" fillId="0" borderId="6" xfId="0" applyFont="1" applyBorder="1" applyAlignment="1">
      <alignment horizontal="left" vertical="top"/>
    </xf>
    <xf numFmtId="0" fontId="15" fillId="0" borderId="20" xfId="0" applyFont="1" applyBorder="1" applyAlignment="1">
      <alignment horizontal="center"/>
    </xf>
    <xf numFmtId="0" fontId="15" fillId="0" borderId="23" xfId="0" applyFont="1" applyBorder="1" applyAlignment="1">
      <alignment horizontal="center"/>
    </xf>
    <xf numFmtId="0" fontId="14" fillId="6" borderId="9" xfId="0" applyFont="1" applyFill="1" applyBorder="1" applyAlignment="1">
      <alignment horizontal="center" wrapText="1"/>
    </xf>
    <xf numFmtId="0" fontId="14" fillId="6" borderId="31" xfId="0" applyFont="1" applyFill="1" applyBorder="1" applyAlignment="1">
      <alignment horizontal="center" wrapText="1"/>
    </xf>
    <xf numFmtId="0" fontId="6" fillId="4" borderId="25" xfId="0" applyFont="1" applyFill="1" applyBorder="1" applyAlignment="1">
      <alignment horizontal="center"/>
    </xf>
    <xf numFmtId="0" fontId="6" fillId="4" borderId="27" xfId="0" applyFont="1" applyFill="1" applyBorder="1" applyAlignment="1">
      <alignment horizontal="center"/>
    </xf>
    <xf numFmtId="0" fontId="9" fillId="4" borderId="32" xfId="0" applyFont="1" applyFill="1" applyBorder="1" applyAlignment="1">
      <alignment horizontal="center" vertical="center"/>
    </xf>
    <xf numFmtId="0" fontId="9" fillId="4" borderId="0" xfId="0" applyFont="1" applyFill="1" applyAlignment="1">
      <alignment horizontal="center" vertical="center"/>
    </xf>
    <xf numFmtId="0" fontId="6" fillId="4" borderId="16" xfId="0" applyFont="1" applyFill="1" applyBorder="1" applyAlignment="1">
      <alignment horizontal="center" vertical="center"/>
    </xf>
    <xf numFmtId="0" fontId="6" fillId="4" borderId="17" xfId="0" applyFont="1" applyFill="1" applyBorder="1" applyAlignment="1">
      <alignment horizontal="center" vertical="center"/>
    </xf>
    <xf numFmtId="0" fontId="6" fillId="4" borderId="19" xfId="0" applyFont="1" applyFill="1" applyBorder="1" applyAlignment="1">
      <alignment horizontal="center" vertical="center"/>
    </xf>
    <xf numFmtId="16" fontId="9" fillId="7" borderId="13" xfId="0" applyNumberFormat="1" applyFont="1" applyFill="1" applyBorder="1" applyAlignment="1">
      <alignment horizontal="center"/>
    </xf>
    <xf numFmtId="0" fontId="9" fillId="7" borderId="13" xfId="0" applyFont="1" applyFill="1" applyBorder="1" applyAlignment="1">
      <alignment horizontal="center"/>
    </xf>
    <xf numFmtId="0" fontId="9" fillId="7" borderId="14" xfId="0" applyFont="1" applyFill="1" applyBorder="1" applyAlignment="1">
      <alignment horizontal="center"/>
    </xf>
    <xf numFmtId="0" fontId="9" fillId="4" borderId="16" xfId="0" applyFont="1" applyFill="1" applyBorder="1" applyAlignment="1">
      <alignment horizontal="left"/>
    </xf>
    <xf numFmtId="0" fontId="8" fillId="4" borderId="19" xfId="0" applyFont="1" applyFill="1" applyBorder="1" applyAlignment="1"/>
    <xf numFmtId="0" fontId="8" fillId="0" borderId="46" xfId="0" applyFont="1" applyBorder="1" applyAlignment="1">
      <alignment horizontal="center"/>
    </xf>
    <xf numFmtId="0" fontId="8" fillId="0" borderId="60" xfId="0" applyFont="1" applyBorder="1" applyAlignment="1">
      <alignment horizontal="center"/>
    </xf>
    <xf numFmtId="0" fontId="8" fillId="0" borderId="7" xfId="0" applyFont="1" applyBorder="1" applyAlignment="1">
      <alignment horizontal="center"/>
    </xf>
    <xf numFmtId="0" fontId="9" fillId="7" borderId="28" xfId="0" applyFont="1" applyFill="1" applyBorder="1" applyAlignment="1">
      <alignment horizontal="center"/>
    </xf>
    <xf numFmtId="0" fontId="9" fillId="7" borderId="21" xfId="0" applyFont="1" applyFill="1" applyBorder="1" applyAlignment="1">
      <alignment horizontal="center"/>
    </xf>
    <xf numFmtId="0" fontId="9" fillId="7" borderId="23" xfId="0" applyFont="1" applyFill="1" applyBorder="1" applyAlignment="1">
      <alignment horizontal="center"/>
    </xf>
    <xf numFmtId="0" fontId="9" fillId="4" borderId="20" xfId="0" applyFont="1" applyFill="1" applyBorder="1" applyAlignment="1"/>
    <xf numFmtId="0" fontId="8" fillId="4" borderId="23" xfId="0" applyFont="1" applyFill="1" applyBorder="1" applyAlignment="1"/>
    <xf numFmtId="0" fontId="8" fillId="7" borderId="29" xfId="0" applyFont="1" applyFill="1" applyBorder="1" applyAlignment="1">
      <alignment horizontal="center"/>
    </xf>
    <xf numFmtId="0" fontId="8" fillId="7" borderId="42" xfId="0" applyFont="1" applyFill="1" applyBorder="1" applyAlignment="1">
      <alignment horizontal="center"/>
    </xf>
    <xf numFmtId="49" fontId="9" fillId="3" borderId="28" xfId="0" applyNumberFormat="1" applyFont="1" applyFill="1" applyBorder="1" applyAlignment="1">
      <alignment horizontal="center"/>
    </xf>
    <xf numFmtId="0" fontId="9" fillId="3" borderId="21" xfId="0" applyFont="1" applyFill="1" applyBorder="1" applyAlignment="1">
      <alignment horizontal="center"/>
    </xf>
    <xf numFmtId="0" fontId="9" fillId="3" borderId="23" xfId="0" applyFont="1" applyFill="1" applyBorder="1" applyAlignment="1">
      <alignment horizontal="center"/>
    </xf>
    <xf numFmtId="0" fontId="9" fillId="4" borderId="20" xfId="0" applyFont="1" applyFill="1" applyBorder="1" applyAlignment="1">
      <alignment vertical="distributed"/>
    </xf>
    <xf numFmtId="0" fontId="8" fillId="4" borderId="23" xfId="0" applyFont="1" applyFill="1" applyBorder="1" applyAlignment="1">
      <alignment vertical="distributed"/>
    </xf>
    <xf numFmtId="0" fontId="8" fillId="7" borderId="21" xfId="0" applyFont="1" applyFill="1" applyBorder="1" applyAlignment="1">
      <alignment horizontal="center"/>
    </xf>
    <xf numFmtId="0" fontId="8" fillId="7" borderId="23" xfId="0" applyFont="1" applyFill="1" applyBorder="1" applyAlignment="1">
      <alignment horizontal="center"/>
    </xf>
    <xf numFmtId="0" fontId="9" fillId="3" borderId="28" xfId="0" applyFont="1" applyFill="1" applyBorder="1" applyAlignment="1">
      <alignment horizontal="center"/>
    </xf>
    <xf numFmtId="0" fontId="8" fillId="7" borderId="26" xfId="0" applyFont="1" applyFill="1" applyBorder="1" applyAlignment="1">
      <alignment horizontal="center"/>
    </xf>
    <xf numFmtId="0" fontId="8" fillId="7" borderId="34" xfId="0" applyFont="1" applyFill="1" applyBorder="1" applyAlignment="1">
      <alignment horizontal="center"/>
    </xf>
    <xf numFmtId="0" fontId="8" fillId="7" borderId="48" xfId="0" applyFont="1" applyFill="1" applyBorder="1" applyAlignment="1">
      <alignment horizontal="center"/>
    </xf>
    <xf numFmtId="0" fontId="6" fillId="5" borderId="9" xfId="0" applyFont="1" applyFill="1" applyBorder="1" applyAlignment="1">
      <alignment horizontal="center"/>
    </xf>
    <xf numFmtId="0" fontId="6" fillId="5" borderId="8" xfId="0" applyFont="1" applyFill="1" applyBorder="1" applyAlignment="1">
      <alignment horizontal="center"/>
    </xf>
    <xf numFmtId="0" fontId="6" fillId="5" borderId="31" xfId="0" applyFont="1" applyFill="1" applyBorder="1" applyAlignment="1">
      <alignment horizontal="center"/>
    </xf>
    <xf numFmtId="0" fontId="9" fillId="4" borderId="24" xfId="0" applyFont="1" applyFill="1" applyBorder="1" applyAlignment="1"/>
    <xf numFmtId="0" fontId="8" fillId="4" borderId="27" xfId="0" applyFont="1" applyFill="1" applyBorder="1" applyAlignment="1"/>
    <xf numFmtId="0" fontId="8" fillId="7" borderId="25" xfId="0" applyFont="1" applyFill="1" applyBorder="1" applyAlignment="1">
      <alignment horizontal="center"/>
    </xf>
    <xf numFmtId="0" fontId="8" fillId="7" borderId="27" xfId="0" applyFont="1" applyFill="1" applyBorder="1" applyAlignment="1">
      <alignment horizontal="center"/>
    </xf>
    <xf numFmtId="49" fontId="9" fillId="3" borderId="3" xfId="0" applyNumberFormat="1" applyFont="1" applyFill="1" applyBorder="1" applyAlignment="1">
      <alignment horizontal="center"/>
    </xf>
    <xf numFmtId="0" fontId="9" fillId="4" borderId="2" xfId="0" applyFont="1" applyFill="1" applyBorder="1" applyAlignment="1">
      <alignment horizontal="left"/>
    </xf>
    <xf numFmtId="0" fontId="9" fillId="4" borderId="3" xfId="0" applyFont="1" applyFill="1" applyBorder="1" applyAlignment="1">
      <alignment horizontal="left"/>
    </xf>
    <xf numFmtId="0" fontId="6" fillId="5" borderId="16" xfId="0" applyFont="1" applyFill="1" applyBorder="1" applyAlignment="1">
      <alignment horizontal="center" vertical="center"/>
    </xf>
    <xf numFmtId="0" fontId="6" fillId="5" borderId="18" xfId="0" applyFont="1" applyFill="1" applyBorder="1" applyAlignment="1">
      <alignment horizontal="center" vertical="center"/>
    </xf>
    <xf numFmtId="0" fontId="6" fillId="5" borderId="24" xfId="0" applyFont="1" applyFill="1" applyBorder="1" applyAlignment="1">
      <alignment horizontal="center" vertical="center"/>
    </xf>
    <xf numFmtId="0" fontId="6" fillId="5" borderId="26" xfId="0" applyFont="1" applyFill="1" applyBorder="1" applyAlignment="1">
      <alignment horizontal="center" vertical="center"/>
    </xf>
    <xf numFmtId="0" fontId="6" fillId="5" borderId="9" xfId="0" applyFont="1" applyFill="1" applyBorder="1" applyAlignment="1">
      <alignment horizontal="center" vertical="center" wrapText="1"/>
    </xf>
    <xf numFmtId="0" fontId="6" fillId="5" borderId="5" xfId="0" applyFont="1" applyFill="1" applyBorder="1" applyAlignment="1">
      <alignment horizontal="center" vertical="center" wrapText="1"/>
    </xf>
    <xf numFmtId="0" fontId="6" fillId="5" borderId="46" xfId="0" applyFont="1" applyFill="1" applyBorder="1" applyAlignment="1">
      <alignment horizontal="center" vertical="center" wrapText="1"/>
    </xf>
    <xf numFmtId="0" fontId="6" fillId="5" borderId="7" xfId="0" applyFont="1" applyFill="1" applyBorder="1" applyAlignment="1">
      <alignment horizontal="center" vertical="center" wrapText="1"/>
    </xf>
    <xf numFmtId="0" fontId="6" fillId="5" borderId="8" xfId="0" applyFont="1" applyFill="1" applyBorder="1" applyAlignment="1">
      <alignment horizontal="center" vertical="center" wrapText="1"/>
    </xf>
    <xf numFmtId="0" fontId="6" fillId="5" borderId="31" xfId="0" applyFont="1" applyFill="1" applyBorder="1" applyAlignment="1">
      <alignment horizontal="center" vertical="center" wrapText="1"/>
    </xf>
    <xf numFmtId="0" fontId="8" fillId="7" borderId="15" xfId="0" applyFont="1" applyFill="1" applyBorder="1" applyAlignment="1">
      <alignment horizontal="center"/>
    </xf>
    <xf numFmtId="0" fontId="8" fillId="7" borderId="52" xfId="0" applyFont="1" applyFill="1" applyBorder="1" applyAlignment="1">
      <alignment horizontal="center"/>
    </xf>
    <xf numFmtId="0" fontId="20" fillId="4" borderId="2" xfId="0" applyFont="1" applyFill="1" applyBorder="1" applyAlignment="1">
      <alignment horizontal="left"/>
    </xf>
    <xf numFmtId="0" fontId="20" fillId="4" borderId="3" xfId="0" applyFont="1" applyFill="1" applyBorder="1" applyAlignment="1">
      <alignment horizontal="left"/>
    </xf>
    <xf numFmtId="0" fontId="20" fillId="4" borderId="5" xfId="0" applyFont="1" applyFill="1" applyBorder="1" applyAlignment="1">
      <alignment horizontal="left"/>
    </xf>
    <xf numFmtId="0" fontId="20" fillId="4" borderId="10" xfId="0" applyFont="1" applyFill="1" applyBorder="1" applyAlignment="1">
      <alignment horizontal="left"/>
    </xf>
    <xf numFmtId="0" fontId="6" fillId="5" borderId="2" xfId="0" applyFont="1" applyFill="1" applyBorder="1" applyAlignment="1">
      <alignment horizontal="center"/>
    </xf>
    <xf numFmtId="0" fontId="6" fillId="5" borderId="3" xfId="0" applyFont="1" applyFill="1" applyBorder="1" applyAlignment="1">
      <alignment horizontal="center"/>
    </xf>
    <xf numFmtId="0" fontId="6" fillId="5" borderId="4" xfId="0" applyFont="1" applyFill="1" applyBorder="1" applyAlignment="1">
      <alignment horizontal="center"/>
    </xf>
    <xf numFmtId="0" fontId="8" fillId="7" borderId="22" xfId="0" applyFont="1" applyFill="1" applyBorder="1" applyAlignment="1">
      <alignment horizontal="center"/>
    </xf>
    <xf numFmtId="0" fontId="8" fillId="7" borderId="12" xfId="0" applyFont="1" applyFill="1" applyBorder="1" applyAlignment="1">
      <alignment horizontal="center"/>
    </xf>
    <xf numFmtId="0" fontId="8" fillId="7" borderId="47" xfId="0" applyFont="1" applyFill="1" applyBorder="1" applyAlignment="1">
      <alignment horizontal="center"/>
    </xf>
    <xf numFmtId="0" fontId="22" fillId="0" borderId="21" xfId="0" applyFont="1" applyBorder="1" applyAlignment="1">
      <alignment horizontal="center"/>
    </xf>
    <xf numFmtId="14" fontId="0" fillId="0" borderId="0" xfId="0" applyNumberFormat="1"/>
    <xf numFmtId="14" fontId="0" fillId="0" borderId="0" xfId="0" applyNumberFormat="1" applyAlignment="1">
      <alignment horizontal="left"/>
    </xf>
    <xf numFmtId="0" fontId="0" fillId="0" borderId="0" xfId="0" applyAlignment="1">
      <alignment horizontal="left" indent="1"/>
    </xf>
    <xf numFmtId="0" fontId="0" fillId="0" borderId="0" xfId="0" pivotButton="1"/>
    <xf numFmtId="0" fontId="0" fillId="0" borderId="0" xfId="0" applyNumberFormat="1"/>
    <xf numFmtId="0" fontId="0" fillId="0" borderId="0" xfId="0" applyAlignment="1">
      <alignment horizontal="left"/>
    </xf>
  </cellXfs>
  <cellStyles count="5">
    <cellStyle name="Date" xfId="2" xr:uid="{9E5FB635-8B93-4E84-B95D-25FD916C1CB4}"/>
    <cellStyle name="Hyperlink" xfId="4" builtinId="8"/>
    <cellStyle name="Normal" xfId="0" builtinId="0"/>
    <cellStyle name="Normal 2" xfId="1" xr:uid="{00000000-0005-0000-0000-000003000000}"/>
    <cellStyle name="Percent" xfId="3" builtinId="5"/>
  </cellStyles>
  <dxfs count="73">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yyyy/mm/dd"/>
    </dxf>
    <dxf>
      <font>
        <color rgb="FF9C0006"/>
      </font>
      <fill>
        <patternFill>
          <bgColor rgb="FFFFC7CE"/>
        </patternFill>
      </fill>
    </dxf>
    <dxf>
      <font>
        <b val="0"/>
        <i val="0"/>
        <strike val="0"/>
        <condense val="0"/>
        <extend val="0"/>
        <outline val="0"/>
        <shadow val="0"/>
        <u val="none"/>
        <vertAlign val="baseline"/>
        <sz val="11"/>
        <color theme="1"/>
        <name val="Arial"/>
        <family val="2"/>
        <scheme val="none"/>
      </font>
      <numFmt numFmtId="19" formatCode="yyyy/mm/dd"/>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1"/>
        <color theme="1"/>
        <name val="Arial"/>
        <family val="2"/>
        <scheme val="none"/>
      </font>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Arial"/>
        <family val="2"/>
        <scheme val="none"/>
      </font>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Arial"/>
        <family val="2"/>
        <scheme val="none"/>
      </font>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Arial"/>
        <family val="2"/>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Arial"/>
        <family val="2"/>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Arial"/>
        <family val="2"/>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Arial"/>
        <family val="2"/>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Arial"/>
        <family val="2"/>
        <scheme val="none"/>
      </font>
      <alignment horizontal="center" vertical="bottom"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medium">
          <color rgb="FF000000"/>
        </left>
        <right style="medium">
          <color rgb="FF000000"/>
        </right>
        <top style="medium">
          <color rgb="FF000000"/>
        </top>
      </border>
    </dxf>
    <dxf>
      <border outline="0">
        <bottom style="medium">
          <color rgb="FF000000"/>
        </bottom>
      </border>
    </dxf>
    <dxf>
      <font>
        <b/>
        <i val="0"/>
        <strike val="0"/>
        <condense val="0"/>
        <extend val="0"/>
        <outline val="0"/>
        <shadow val="0"/>
        <u val="none"/>
        <vertAlign val="baseline"/>
        <sz val="10"/>
        <color auto="1"/>
        <name val="Arial"/>
        <family val="2"/>
        <scheme val="none"/>
      </font>
      <fill>
        <patternFill patternType="solid">
          <fgColor indexed="64"/>
          <bgColor theme="0" tint="-0.149998474074526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auto="1"/>
        <name val="Arial"/>
        <family val="2"/>
        <scheme val="none"/>
      </font>
      <fill>
        <patternFill patternType="solid">
          <fgColor indexed="64"/>
          <bgColor theme="2" tint="-9.9978637043366805E-2"/>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Arial"/>
        <family val="2"/>
        <scheme val="none"/>
      </font>
      <alignment horizontal="center" vertical="bottom" textRotation="0" wrapText="0" indent="0" justifyLastLine="0" shrinkToFit="0" readingOrder="0"/>
      <border diagonalUp="0" diagonalDown="0">
        <left style="thin">
          <color indexed="64"/>
        </left>
        <right/>
        <top style="thin">
          <color indexed="64"/>
        </top>
        <bottom style="medium">
          <color indexed="64"/>
        </bottom>
        <vertical/>
        <horizontal/>
      </border>
      <protection locked="0" hidden="0"/>
    </dxf>
    <dxf>
      <font>
        <b val="0"/>
        <i val="0"/>
        <strike val="0"/>
        <condense val="0"/>
        <extend val="0"/>
        <outline val="0"/>
        <shadow val="0"/>
        <u val="none"/>
        <vertAlign val="baseline"/>
        <sz val="11"/>
        <color theme="1"/>
        <name val="Arial"/>
        <family val="2"/>
        <scheme val="none"/>
      </font>
      <numFmt numFmtId="1" formatCode="0"/>
      <alignment horizontal="center" vertical="bottom" textRotation="0" wrapText="0" indent="0" justifyLastLine="0" shrinkToFit="0" readingOrder="0"/>
      <border diagonalUp="0" diagonalDown="0">
        <left style="thin">
          <color indexed="64"/>
        </left>
        <right/>
        <top style="thin">
          <color indexed="64"/>
        </top>
        <bottom style="medium">
          <color indexed="64"/>
        </bottom>
        <vertical/>
        <horizontal/>
      </border>
      <protection locked="0" hidden="0"/>
    </dxf>
    <dxf>
      <font>
        <b val="0"/>
        <i val="0"/>
        <strike val="0"/>
        <condense val="0"/>
        <extend val="0"/>
        <outline val="0"/>
        <shadow val="0"/>
        <u val="none"/>
        <vertAlign val="baseline"/>
        <sz val="11"/>
        <color theme="1"/>
        <name val="Arial"/>
        <family val="2"/>
        <scheme val="none"/>
      </font>
      <alignment horizontal="center" vertical="bottom" textRotation="0" wrapText="0" indent="0" justifyLastLine="0" shrinkToFit="0" readingOrder="0"/>
      <border diagonalUp="0" diagonalDown="0">
        <left style="thin">
          <color indexed="64"/>
        </left>
        <right/>
        <top style="thin">
          <color indexed="64"/>
        </top>
        <bottom style="medium">
          <color indexed="64"/>
        </bottom>
        <vertical/>
        <horizontal/>
      </border>
      <protection locked="0" hidden="0"/>
    </dxf>
    <dxf>
      <font>
        <b val="0"/>
        <i val="0"/>
        <strike val="0"/>
        <condense val="0"/>
        <extend val="0"/>
        <outline val="0"/>
        <shadow val="0"/>
        <u val="none"/>
        <vertAlign val="baseline"/>
        <sz val="11"/>
        <color theme="1"/>
        <name val="Arial"/>
        <family val="2"/>
        <scheme val="none"/>
      </font>
      <alignment horizontal="center" vertical="bottom" textRotation="0" wrapText="0" indent="0" justifyLastLine="0" shrinkToFit="0" readingOrder="0"/>
      <border diagonalUp="0" diagonalDown="0">
        <left style="thin">
          <color indexed="64"/>
        </left>
        <right/>
        <top style="thin">
          <color indexed="64"/>
        </top>
        <bottom style="medium">
          <color indexed="64"/>
        </bottom>
        <vertical/>
        <horizontal/>
      </border>
      <protection locked="0" hidden="0"/>
    </dxf>
    <dxf>
      <font>
        <b val="0"/>
        <i val="0"/>
        <strike val="0"/>
        <condense val="0"/>
        <extend val="0"/>
        <outline val="0"/>
        <shadow val="0"/>
        <u val="none"/>
        <vertAlign val="baseline"/>
        <sz val="11"/>
        <color theme="1"/>
        <name val="Arial"/>
        <family val="2"/>
        <scheme val="none"/>
      </font>
      <alignment horizontal="center" vertical="bottom" textRotation="0" wrapText="0" indent="0" justifyLastLine="0" shrinkToFit="0" readingOrder="0"/>
      <border diagonalUp="0" diagonalDown="0">
        <left style="thin">
          <color indexed="64"/>
        </left>
        <right/>
        <top style="thin">
          <color indexed="64"/>
        </top>
        <bottom style="medium">
          <color indexed="64"/>
        </bottom>
        <vertical/>
        <horizontal/>
      </border>
      <protection locked="0" hidden="0"/>
    </dxf>
    <dxf>
      <font>
        <b val="0"/>
        <i val="0"/>
        <strike val="0"/>
        <condense val="0"/>
        <extend val="0"/>
        <outline val="0"/>
        <shadow val="0"/>
        <u val="none"/>
        <vertAlign val="baseline"/>
        <sz val="11"/>
        <color theme="1"/>
        <name val="Arial"/>
        <family val="2"/>
        <scheme val="none"/>
      </font>
      <numFmt numFmtId="19" formatCode="yyyy/mm/dd"/>
      <alignment horizontal="center" vertical="bottom" textRotation="0" wrapText="0" indent="0" justifyLastLine="0" shrinkToFit="0" readingOrder="0"/>
      <border diagonalUp="0" diagonalDown="0">
        <left/>
        <right style="thin">
          <color indexed="64"/>
        </right>
        <top style="thin">
          <color indexed="64"/>
        </top>
        <bottom style="medium">
          <color indexed="64"/>
        </bottom>
        <vertical/>
        <horizontal/>
      </border>
      <protection locked="0" hidden="0"/>
    </dxf>
    <dxf>
      <font>
        <b val="0"/>
        <i val="0"/>
        <strike val="0"/>
        <condense val="0"/>
        <extend val="0"/>
        <outline val="0"/>
        <shadow val="0"/>
        <u val="none"/>
        <vertAlign val="baseline"/>
        <sz val="11"/>
        <color theme="1"/>
        <name val="Arial"/>
        <family val="2"/>
        <scheme val="none"/>
      </font>
      <numFmt numFmtId="19" formatCode="yyyy/mm/dd"/>
      <alignment horizontal="center" vertical="bottom" textRotation="0" wrapText="0" indent="0" justifyLastLine="0" shrinkToFit="0" readingOrder="0"/>
      <border diagonalUp="0" diagonalDown="0">
        <left/>
        <right style="thin">
          <color indexed="64"/>
        </right>
        <top style="thin">
          <color indexed="64"/>
        </top>
        <bottom style="medium">
          <color indexed="64"/>
        </bottom>
        <vertical/>
        <horizontal/>
      </border>
      <protection locked="0" hidden="0"/>
    </dxf>
    <dxf>
      <font>
        <b val="0"/>
        <i val="0"/>
        <strike val="0"/>
        <condense val="0"/>
        <extend val="0"/>
        <outline val="0"/>
        <shadow val="0"/>
        <u val="none"/>
        <vertAlign val="baseline"/>
        <sz val="11"/>
        <color theme="1"/>
        <name val="Arial"/>
        <family val="2"/>
        <scheme val="none"/>
      </font>
      <numFmt numFmtId="19" formatCode="yyyy/mm/dd"/>
      <alignment horizontal="center" vertical="bottom" textRotation="0" wrapText="0" indent="0" justifyLastLine="0" shrinkToFit="0" readingOrder="0"/>
      <border diagonalUp="0" diagonalDown="0">
        <left/>
        <right style="thin">
          <color indexed="64"/>
        </right>
        <top style="thin">
          <color indexed="64"/>
        </top>
        <bottom style="medium">
          <color indexed="64"/>
        </bottom>
        <vertical/>
        <horizontal/>
      </border>
      <protection locked="0" hidden="0"/>
    </dxf>
    <dxf>
      <font>
        <b val="0"/>
        <i val="0"/>
        <strike val="0"/>
        <condense val="0"/>
        <extend val="0"/>
        <outline val="0"/>
        <shadow val="0"/>
        <u val="none"/>
        <vertAlign val="baseline"/>
        <sz val="11"/>
        <color theme="1"/>
        <name val="Arial"/>
        <family val="2"/>
        <scheme val="none"/>
      </font>
      <numFmt numFmtId="19" formatCode="yyyy/mm/dd"/>
      <alignment horizontal="center" vertical="bottom" textRotation="0" wrapText="0" indent="0" justifyLastLine="0" shrinkToFit="0" readingOrder="0"/>
      <border diagonalUp="0" diagonalDown="0">
        <left/>
        <right style="thin">
          <color indexed="64"/>
        </right>
        <top style="thin">
          <color indexed="64"/>
        </top>
        <bottom style="medium">
          <color indexed="64"/>
        </bottom>
        <vertical/>
        <horizontal/>
      </border>
      <protection locked="0" hidden="0"/>
    </dxf>
    <dxf>
      <font>
        <b val="0"/>
        <i val="0"/>
        <strike val="0"/>
        <condense val="0"/>
        <extend val="0"/>
        <outline val="0"/>
        <shadow val="0"/>
        <u val="none"/>
        <vertAlign val="baseline"/>
        <sz val="11"/>
        <color theme="1"/>
        <name val="Arial"/>
        <family val="2"/>
        <scheme val="none"/>
      </font>
      <numFmt numFmtId="19" formatCode="yyyy/mm/dd"/>
      <alignment horizontal="center" vertical="bottom" textRotation="0" wrapText="0" indent="0" justifyLastLine="0" shrinkToFit="0" readingOrder="0"/>
      <border diagonalUp="0" diagonalDown="0">
        <left/>
        <right style="thin">
          <color indexed="64"/>
        </right>
        <top style="thin">
          <color indexed="64"/>
        </top>
        <bottom style="medium">
          <color indexed="64"/>
        </bottom>
        <vertical/>
        <horizontal/>
      </border>
      <protection locked="0" hidden="0"/>
    </dxf>
    <dxf>
      <font>
        <b val="0"/>
        <i val="0"/>
        <strike val="0"/>
        <condense val="0"/>
        <extend val="0"/>
        <outline val="0"/>
        <shadow val="0"/>
        <u val="none"/>
        <vertAlign val="baseline"/>
        <sz val="11"/>
        <color theme="1"/>
        <name val="Arial"/>
        <family val="2"/>
        <scheme val="none"/>
      </font>
      <numFmt numFmtId="19" formatCode="yyyy/mm/dd"/>
      <alignment horizontal="center" vertical="bottom" textRotation="0" wrapText="0" indent="0" justifyLastLine="0" shrinkToFit="0" readingOrder="0"/>
      <border diagonalUp="0" diagonalDown="0">
        <left/>
        <right style="thin">
          <color indexed="64"/>
        </right>
        <top style="thin">
          <color indexed="64"/>
        </top>
        <bottom style="medium">
          <color indexed="64"/>
        </bottom>
        <vertical/>
        <horizontal/>
      </border>
      <protection locked="0" hidden="0"/>
    </dxf>
    <dxf>
      <font>
        <b val="0"/>
        <i val="0"/>
        <strike val="0"/>
        <condense val="0"/>
        <extend val="0"/>
        <outline val="0"/>
        <shadow val="0"/>
        <u val="none"/>
        <vertAlign val="baseline"/>
        <sz val="11"/>
        <color theme="1"/>
        <name val="Arial"/>
        <family val="2"/>
        <scheme val="none"/>
      </font>
      <numFmt numFmtId="19" formatCode="yyyy/mm/dd"/>
      <alignment horizontal="center" vertical="bottom" textRotation="0" wrapText="0" indent="0" justifyLastLine="0" shrinkToFit="0" readingOrder="0"/>
      <border diagonalUp="0" diagonalDown="0">
        <left style="medium">
          <color indexed="64"/>
        </left>
        <right style="thin">
          <color indexed="64"/>
        </right>
        <top style="thin">
          <color indexed="64"/>
        </top>
        <bottom style="medium">
          <color indexed="64"/>
        </bottom>
        <vertical/>
        <horizontal/>
      </border>
      <protection locked="0" hidden="0"/>
    </dxf>
    <dxf>
      <border outline="0">
        <top style="medium">
          <color rgb="FF000000"/>
        </top>
      </border>
    </dxf>
    <dxf>
      <font>
        <b val="0"/>
        <i val="0"/>
        <strike val="0"/>
        <condense val="0"/>
        <extend val="0"/>
        <outline val="0"/>
        <shadow val="0"/>
        <u val="none"/>
        <vertAlign val="baseline"/>
        <sz val="11"/>
        <color rgb="FF000000"/>
        <name val="Arial"/>
        <family val="2"/>
        <scheme val="none"/>
      </font>
      <alignment horizontal="center" vertical="bottom" textRotation="0" wrapText="0" indent="0" justifyLastLine="0" shrinkToFit="0" readingOrder="0"/>
      <protection locked="0" hidden="0"/>
    </dxf>
    <dxf>
      <border outline="0">
        <bottom style="medium">
          <color rgb="FF000000"/>
        </bottom>
      </border>
    </dxf>
    <dxf>
      <font>
        <b/>
        <i val="0"/>
        <strike val="0"/>
        <condense val="0"/>
        <extend val="0"/>
        <outline val="0"/>
        <shadow val="0"/>
        <u val="none"/>
        <vertAlign val="baseline"/>
        <sz val="11"/>
        <color auto="1"/>
        <name val="Arial"/>
        <family val="2"/>
        <scheme val="none"/>
      </font>
      <fill>
        <patternFill patternType="solid">
          <fgColor indexed="64"/>
          <bgColor theme="2" tint="-9.9978637043366805E-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1"/>
        <color theme="1"/>
        <name val="Arial"/>
        <family val="2"/>
        <scheme val="none"/>
      </font>
      <alignment horizontal="center" vertical="bottom" textRotation="0" wrapText="0" indent="0" justifyLastLine="0" shrinkToFit="0" readingOrder="0"/>
      <border diagonalUp="0" diagonalDown="0">
        <left style="thin">
          <color indexed="64"/>
        </left>
        <right/>
        <top style="thin">
          <color indexed="64"/>
        </top>
        <bottom style="medium">
          <color indexed="64"/>
        </bottom>
        <vertical/>
        <horizontal/>
      </border>
      <protection locked="0" hidden="0"/>
    </dxf>
    <dxf>
      <font>
        <b val="0"/>
        <i val="0"/>
        <strike val="0"/>
        <condense val="0"/>
        <extend val="0"/>
        <outline val="0"/>
        <shadow val="0"/>
        <u val="none"/>
        <vertAlign val="baseline"/>
        <sz val="11"/>
        <color theme="1"/>
        <name val="Arial"/>
        <family val="2"/>
        <scheme val="none"/>
      </font>
      <numFmt numFmtId="1" formatCode="0"/>
      <alignment horizontal="center" vertical="bottom" textRotation="0" wrapText="0" indent="0" justifyLastLine="0" shrinkToFit="0" readingOrder="0"/>
      <border diagonalUp="0" diagonalDown="0">
        <left style="thin">
          <color indexed="64"/>
        </left>
        <right/>
        <top style="thin">
          <color indexed="64"/>
        </top>
        <bottom style="medium">
          <color indexed="64"/>
        </bottom>
        <vertical/>
        <horizontal/>
      </border>
      <protection locked="0" hidden="0"/>
    </dxf>
    <dxf>
      <font>
        <b val="0"/>
        <i val="0"/>
        <strike val="0"/>
        <condense val="0"/>
        <extend val="0"/>
        <outline val="0"/>
        <shadow val="0"/>
        <u val="none"/>
        <vertAlign val="baseline"/>
        <sz val="11"/>
        <color theme="1"/>
        <name val="Arial"/>
        <family val="2"/>
        <scheme val="none"/>
      </font>
      <alignment horizontal="center" vertical="bottom" textRotation="0" wrapText="0" indent="0" justifyLastLine="0" shrinkToFit="0" readingOrder="0"/>
      <border diagonalUp="0" diagonalDown="0">
        <left style="thin">
          <color indexed="64"/>
        </left>
        <right/>
        <top style="thin">
          <color indexed="64"/>
        </top>
        <bottom style="medium">
          <color indexed="64"/>
        </bottom>
        <vertical/>
        <horizontal/>
      </border>
      <protection locked="0" hidden="0"/>
    </dxf>
    <dxf>
      <font>
        <b val="0"/>
        <i val="0"/>
        <strike val="0"/>
        <condense val="0"/>
        <extend val="0"/>
        <outline val="0"/>
        <shadow val="0"/>
        <u val="none"/>
        <vertAlign val="baseline"/>
        <sz val="11"/>
        <color theme="1"/>
        <name val="Arial"/>
        <family val="2"/>
        <scheme val="none"/>
      </font>
      <alignment horizontal="center" vertical="bottom" textRotation="0" wrapText="0" indent="0" justifyLastLine="0" shrinkToFit="0" readingOrder="0"/>
      <border diagonalUp="0" diagonalDown="0">
        <left style="thin">
          <color indexed="64"/>
        </left>
        <right/>
        <top style="thin">
          <color indexed="64"/>
        </top>
        <bottom style="medium">
          <color indexed="64"/>
        </bottom>
        <vertical/>
        <horizontal/>
      </border>
      <protection locked="0" hidden="0"/>
    </dxf>
    <dxf>
      <font>
        <b val="0"/>
        <i val="0"/>
        <strike val="0"/>
        <condense val="0"/>
        <extend val="0"/>
        <outline val="0"/>
        <shadow val="0"/>
        <u val="none"/>
        <vertAlign val="baseline"/>
        <sz val="11"/>
        <color theme="1"/>
        <name val="Arial"/>
        <family val="2"/>
        <scheme val="none"/>
      </font>
      <alignment horizontal="center" vertical="bottom" textRotation="0" wrapText="0" indent="0" justifyLastLine="0" shrinkToFit="0" readingOrder="0"/>
      <border diagonalUp="0" diagonalDown="0">
        <left style="thin">
          <color indexed="64"/>
        </left>
        <right/>
        <top style="thin">
          <color indexed="64"/>
        </top>
        <bottom style="medium">
          <color indexed="64"/>
        </bottom>
        <vertical/>
        <horizontal/>
      </border>
      <protection locked="0" hidden="0"/>
    </dxf>
    <dxf>
      <font>
        <b val="0"/>
        <i val="0"/>
        <strike val="0"/>
        <condense val="0"/>
        <extend val="0"/>
        <outline val="0"/>
        <shadow val="0"/>
        <u val="none"/>
        <vertAlign val="baseline"/>
        <sz val="11"/>
        <color theme="1"/>
        <name val="Arial"/>
        <family val="2"/>
        <scheme val="none"/>
      </font>
      <alignment horizontal="center" vertical="bottom" textRotation="0" wrapText="0" indent="0" justifyLastLine="0" shrinkToFit="0" readingOrder="0"/>
      <border diagonalUp="0" diagonalDown="0">
        <left style="thin">
          <color indexed="64"/>
        </left>
        <right/>
        <top style="thin">
          <color indexed="64"/>
        </top>
        <bottom style="medium">
          <color indexed="64"/>
        </bottom>
        <vertical/>
        <horizontal/>
      </border>
      <protection locked="0" hidden="0"/>
    </dxf>
    <dxf>
      <font>
        <b val="0"/>
        <i val="0"/>
        <strike val="0"/>
        <condense val="0"/>
        <extend val="0"/>
        <outline val="0"/>
        <shadow val="0"/>
        <u val="none"/>
        <vertAlign val="baseline"/>
        <sz val="11"/>
        <color theme="1"/>
        <name val="Arial"/>
        <family val="2"/>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medium">
          <color indexed="64"/>
        </bottom>
        <vertical/>
        <horizontal/>
      </border>
      <protection locked="0" hidden="0"/>
    </dxf>
    <dxf>
      <font>
        <b val="0"/>
        <i val="0"/>
        <strike val="0"/>
        <condense val="0"/>
        <extend val="0"/>
        <outline val="0"/>
        <shadow val="0"/>
        <u val="none"/>
        <vertAlign val="baseline"/>
        <sz val="11"/>
        <color theme="1"/>
        <name val="Arial"/>
        <family val="2"/>
        <scheme val="none"/>
      </font>
      <numFmt numFmtId="19" formatCode="yyyy/mm/dd"/>
      <alignment horizontal="center" vertical="bottom" textRotation="0" wrapText="0" indent="0" justifyLastLine="0" shrinkToFit="0" readingOrder="0"/>
      <border diagonalUp="0" diagonalDown="0">
        <left/>
        <right style="thin">
          <color indexed="64"/>
        </right>
        <top style="thin">
          <color indexed="64"/>
        </top>
        <bottom style="medium">
          <color indexed="64"/>
        </bottom>
        <vertical/>
        <horizontal/>
      </border>
      <protection locked="0" hidden="0"/>
    </dxf>
    <dxf>
      <font>
        <b val="0"/>
        <i val="0"/>
        <strike val="0"/>
        <condense val="0"/>
        <extend val="0"/>
        <outline val="0"/>
        <shadow val="0"/>
        <u val="none"/>
        <vertAlign val="baseline"/>
        <sz val="11"/>
        <color theme="1"/>
        <name val="Arial"/>
        <family val="2"/>
        <scheme val="none"/>
      </font>
      <numFmt numFmtId="19" formatCode="yyyy/mm/dd"/>
      <alignment horizontal="center" vertical="bottom" textRotation="0" wrapText="0" indent="0" justifyLastLine="0" shrinkToFit="0" readingOrder="0"/>
      <border diagonalUp="0" diagonalDown="0">
        <left/>
        <right style="thin">
          <color indexed="64"/>
        </right>
        <top style="thin">
          <color indexed="64"/>
        </top>
        <bottom style="medium">
          <color indexed="64"/>
        </bottom>
        <vertical/>
        <horizontal/>
      </border>
      <protection locked="0" hidden="0"/>
    </dxf>
    <dxf>
      <font>
        <b val="0"/>
        <i val="0"/>
        <strike val="0"/>
        <condense val="0"/>
        <extend val="0"/>
        <outline val="0"/>
        <shadow val="0"/>
        <u val="none"/>
        <vertAlign val="baseline"/>
        <sz val="11"/>
        <color theme="1"/>
        <name val="Arial"/>
        <family val="2"/>
        <scheme val="none"/>
      </font>
      <numFmt numFmtId="19" formatCode="yyyy/mm/dd"/>
      <alignment horizontal="center" vertical="bottom" textRotation="0" wrapText="0" indent="0" justifyLastLine="0" shrinkToFit="0" readingOrder="0"/>
      <border diagonalUp="0" diagonalDown="0">
        <left/>
        <right style="thin">
          <color indexed="64"/>
        </right>
        <top style="thin">
          <color indexed="64"/>
        </top>
        <bottom style="medium">
          <color indexed="64"/>
        </bottom>
        <vertical/>
        <horizontal/>
      </border>
      <protection locked="0" hidden="0"/>
    </dxf>
    <dxf>
      <font>
        <b val="0"/>
        <i val="0"/>
        <strike val="0"/>
        <condense val="0"/>
        <extend val="0"/>
        <outline val="0"/>
        <shadow val="0"/>
        <u val="none"/>
        <vertAlign val="baseline"/>
        <sz val="11"/>
        <color theme="1"/>
        <name val="Arial"/>
        <family val="2"/>
        <scheme val="none"/>
      </font>
      <numFmt numFmtId="19" formatCode="yyyy/mm/dd"/>
      <alignment horizontal="center" vertical="bottom" textRotation="0" wrapText="0" indent="0" justifyLastLine="0" shrinkToFit="0" readingOrder="0"/>
      <border diagonalUp="0" diagonalDown="0">
        <left/>
        <right style="thin">
          <color indexed="64"/>
        </right>
        <top style="thin">
          <color indexed="64"/>
        </top>
        <bottom style="medium">
          <color indexed="64"/>
        </bottom>
        <vertical/>
        <horizontal/>
      </border>
      <protection locked="0" hidden="0"/>
    </dxf>
    <dxf>
      <font>
        <b val="0"/>
        <i val="0"/>
        <strike val="0"/>
        <condense val="0"/>
        <extend val="0"/>
        <outline val="0"/>
        <shadow val="0"/>
        <u val="none"/>
        <vertAlign val="baseline"/>
        <sz val="11"/>
        <color theme="1"/>
        <name val="Arial"/>
        <family val="2"/>
        <scheme val="none"/>
      </font>
      <numFmt numFmtId="19" formatCode="yyyy/mm/dd"/>
      <alignment horizontal="center" vertical="bottom" textRotation="0" wrapText="0" indent="0" justifyLastLine="0" shrinkToFit="0" readingOrder="0"/>
      <border diagonalUp="0" diagonalDown="0">
        <left/>
        <right style="thin">
          <color indexed="64"/>
        </right>
        <top style="thin">
          <color indexed="64"/>
        </top>
        <bottom style="medium">
          <color indexed="64"/>
        </bottom>
        <vertical/>
        <horizontal/>
      </border>
      <protection locked="0" hidden="0"/>
    </dxf>
    <dxf>
      <font>
        <b val="0"/>
        <i val="0"/>
        <strike val="0"/>
        <condense val="0"/>
        <extend val="0"/>
        <outline val="0"/>
        <shadow val="0"/>
        <u val="none"/>
        <vertAlign val="baseline"/>
        <sz val="11"/>
        <color theme="1"/>
        <name val="Arial"/>
        <family val="2"/>
        <scheme val="none"/>
      </font>
      <numFmt numFmtId="19" formatCode="yyyy/mm/dd"/>
      <alignment horizontal="center" vertical="bottom" textRotation="0" wrapText="0" indent="0" justifyLastLine="0" shrinkToFit="0" readingOrder="0"/>
      <border diagonalUp="0" diagonalDown="0">
        <left style="medium">
          <color indexed="64"/>
        </left>
        <right style="thin">
          <color indexed="64"/>
        </right>
        <top style="thin">
          <color indexed="64"/>
        </top>
        <bottom style="medium">
          <color indexed="64"/>
        </bottom>
        <vertical/>
        <horizontal/>
      </border>
      <protection locked="0" hidden="0"/>
    </dxf>
    <dxf>
      <border outline="0">
        <top style="medium">
          <color indexed="64"/>
        </top>
      </border>
    </dxf>
    <dxf>
      <font>
        <b val="0"/>
        <i val="0"/>
        <strike val="0"/>
        <condense val="0"/>
        <extend val="0"/>
        <outline val="0"/>
        <shadow val="0"/>
        <u val="none"/>
        <vertAlign val="baseline"/>
        <sz val="11"/>
        <color theme="1"/>
        <name val="Arial"/>
        <family val="2"/>
        <scheme val="none"/>
      </font>
      <alignment horizontal="center" vertical="bottom" textRotation="0" wrapText="0" indent="0" justifyLastLine="0" shrinkToFit="0" readingOrder="0"/>
      <protection locked="0" hidden="0"/>
    </dxf>
    <dxf>
      <border outline="0">
        <bottom style="medium">
          <color indexed="64"/>
        </bottom>
      </border>
    </dxf>
    <dxf>
      <font>
        <b/>
        <i val="0"/>
        <strike val="0"/>
        <condense val="0"/>
        <extend val="0"/>
        <outline val="0"/>
        <shadow val="0"/>
        <u val="none"/>
        <vertAlign val="baseline"/>
        <sz val="11"/>
        <color auto="1"/>
        <name val="Arial"/>
        <family val="2"/>
        <scheme val="none"/>
      </font>
      <fill>
        <patternFill patternType="solid">
          <fgColor indexed="64"/>
          <bgColor theme="2" tint="-9.9978637043366805E-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microsoft.com/office/2007/relationships/slicerCache" Target="slicerCaches/slicerCache6.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7/relationships/slicerCache" Target="slicerCaches/slicerCache5.xml"/><Relationship Id="rId25" Type="http://schemas.openxmlformats.org/officeDocument/2006/relationships/customXml" Target="../customXml/item2.xml"/><Relationship Id="rId2" Type="http://schemas.openxmlformats.org/officeDocument/2006/relationships/worksheet" Target="worksheets/sheet2.xml"/><Relationship Id="rId16" Type="http://schemas.microsoft.com/office/2007/relationships/slicerCache" Target="slicerCaches/slicerCache4.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24" Type="http://schemas.openxmlformats.org/officeDocument/2006/relationships/customXml" Target="../customXml/item1.xml"/><Relationship Id="rId5" Type="http://schemas.openxmlformats.org/officeDocument/2006/relationships/worksheet" Target="worksheets/sheet5.xml"/><Relationship Id="rId15" Type="http://schemas.microsoft.com/office/2007/relationships/slicerCache" Target="slicerCaches/slicerCache3.xml"/><Relationship Id="rId23" Type="http://schemas.openxmlformats.org/officeDocument/2006/relationships/calcChain" Target="calcChain.xml"/><Relationship Id="rId28" Type="http://schemas.microsoft.com/office/2006/relationships/vbaProject" Target="vbaProject.bin"/><Relationship Id="rId10" Type="http://schemas.openxmlformats.org/officeDocument/2006/relationships/externalLink" Target="externalLinks/externalLink2.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7/relationships/slicerCache" Target="slicerCaches/slicerCache2.xml"/><Relationship Id="rId22" Type="http://schemas.openxmlformats.org/officeDocument/2006/relationships/sharedStrings" Target="sharedStrings.xml"/><Relationship Id="rId27" Type="http://schemas.openxmlformats.org/officeDocument/2006/relationships/customXml" Target="../customXml/item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9</xdr:col>
      <xdr:colOff>98611</xdr:colOff>
      <xdr:row>0</xdr:row>
      <xdr:rowOff>0</xdr:rowOff>
    </xdr:from>
    <xdr:to>
      <xdr:col>9</xdr:col>
      <xdr:colOff>505864</xdr:colOff>
      <xdr:row>1</xdr:row>
      <xdr:rowOff>143435</xdr:rowOff>
    </xdr:to>
    <xdr:pic>
      <xdr:nvPicPr>
        <xdr:cNvPr id="3" name="Picture 2">
          <a:extLst>
            <a:ext uri="{FF2B5EF4-FFF2-40B4-BE49-F238E27FC236}">
              <a16:creationId xmlns:a16="http://schemas.microsoft.com/office/drawing/2014/main" id="{53672C50-AEC8-4C0F-A4BA-51C7D8C18B5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629835" y="0"/>
          <a:ext cx="407253" cy="47512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13</xdr:col>
      <xdr:colOff>76648</xdr:colOff>
      <xdr:row>0</xdr:row>
      <xdr:rowOff>49754</xdr:rowOff>
    </xdr:from>
    <xdr:to>
      <xdr:col>16</xdr:col>
      <xdr:colOff>157331</xdr:colOff>
      <xdr:row>9</xdr:row>
      <xdr:rowOff>107577</xdr:rowOff>
    </xdr:to>
    <mc:AlternateContent xmlns:mc="http://schemas.openxmlformats.org/markup-compatibility/2006" xmlns:sle15="http://schemas.microsoft.com/office/drawing/2012/slicer">
      <mc:Choice Requires="sle15">
        <xdr:graphicFrame macro="">
          <xdr:nvGraphicFramePr>
            <xdr:cNvPr id="2" name="Road Name">
              <a:extLst>
                <a:ext uri="{FF2B5EF4-FFF2-40B4-BE49-F238E27FC236}">
                  <a16:creationId xmlns:a16="http://schemas.microsoft.com/office/drawing/2014/main" id="{20B34A7C-8ADE-4282-AD53-0873DB940833}"/>
                </a:ext>
              </a:extLst>
            </xdr:cNvPr>
            <xdr:cNvGraphicFramePr/>
          </xdr:nvGraphicFramePr>
          <xdr:xfrm>
            <a:off x="0" y="0"/>
            <a:ext cx="0" cy="0"/>
          </xdr:xfrm>
          <a:graphic>
            <a:graphicData uri="http://schemas.microsoft.com/office/drawing/2010/slicer">
              <sle:slicer xmlns:sle="http://schemas.microsoft.com/office/drawing/2010/slicer" name="Road Name"/>
            </a:graphicData>
          </a:graphic>
        </xdr:graphicFrame>
      </mc:Choice>
      <mc:Fallback xmlns="">
        <xdr:sp macro="" textlink="">
          <xdr:nvSpPr>
            <xdr:cNvPr id="0" name=""/>
            <xdr:cNvSpPr>
              <a:spLocks noTextEdit="1"/>
            </xdr:cNvSpPr>
          </xdr:nvSpPr>
          <xdr:spPr>
            <a:xfrm>
              <a:off x="15954823" y="49754"/>
              <a:ext cx="1852333" cy="1638973"/>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13</xdr:col>
      <xdr:colOff>63649</xdr:colOff>
      <xdr:row>10</xdr:row>
      <xdr:rowOff>80682</xdr:rowOff>
    </xdr:from>
    <xdr:to>
      <xdr:col>16</xdr:col>
      <xdr:colOff>144332</xdr:colOff>
      <xdr:row>21</xdr:row>
      <xdr:rowOff>44823</xdr:rowOff>
    </xdr:to>
    <mc:AlternateContent xmlns:mc="http://schemas.openxmlformats.org/markup-compatibility/2006" xmlns:sle15="http://schemas.microsoft.com/office/drawing/2012/slicer">
      <mc:Choice Requires="sle15">
        <xdr:graphicFrame macro="">
          <xdr:nvGraphicFramePr>
            <xdr:cNvPr id="3" name="Type">
              <a:extLst>
                <a:ext uri="{FF2B5EF4-FFF2-40B4-BE49-F238E27FC236}">
                  <a16:creationId xmlns:a16="http://schemas.microsoft.com/office/drawing/2014/main" id="{0C4A9618-55BE-402D-A02C-CE4A4059C1B3}"/>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15941824" y="1833282"/>
              <a:ext cx="1852333" cy="1850091"/>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13</xdr:col>
      <xdr:colOff>59616</xdr:colOff>
      <xdr:row>21</xdr:row>
      <xdr:rowOff>152400</xdr:rowOff>
    </xdr:from>
    <xdr:to>
      <xdr:col>16</xdr:col>
      <xdr:colOff>140299</xdr:colOff>
      <xdr:row>31</xdr:row>
      <xdr:rowOff>125506</xdr:rowOff>
    </xdr:to>
    <mc:AlternateContent xmlns:mc="http://schemas.openxmlformats.org/markup-compatibility/2006" xmlns:sle15="http://schemas.microsoft.com/office/drawing/2012/slicer">
      <mc:Choice Requires="sle15">
        <xdr:graphicFrame macro="">
          <xdr:nvGraphicFramePr>
            <xdr:cNvPr id="4" name="Date">
              <a:extLst>
                <a:ext uri="{FF2B5EF4-FFF2-40B4-BE49-F238E27FC236}">
                  <a16:creationId xmlns:a16="http://schemas.microsoft.com/office/drawing/2014/main" id="{F97D61B8-AF2D-4182-9A41-F9FACC23EFD0}"/>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15937791" y="3790950"/>
              <a:ext cx="1852333" cy="1697131"/>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absolute">
    <xdr:from>
      <xdr:col>12</xdr:col>
      <xdr:colOff>60597</xdr:colOff>
      <xdr:row>0</xdr:row>
      <xdr:rowOff>165099</xdr:rowOff>
    </xdr:from>
    <xdr:to>
      <xdr:col>15</xdr:col>
      <xdr:colOff>84909</xdr:colOff>
      <xdr:row>29</xdr:row>
      <xdr:rowOff>130627</xdr:rowOff>
    </xdr:to>
    <mc:AlternateContent xmlns:mc="http://schemas.openxmlformats.org/markup-compatibility/2006" xmlns:sle15="http://schemas.microsoft.com/office/drawing/2012/slicer">
      <mc:Choice Requires="sle15">
        <xdr:graphicFrame macro="">
          <xdr:nvGraphicFramePr>
            <xdr:cNvPr id="2" name="Road Name 1">
              <a:extLst>
                <a:ext uri="{FF2B5EF4-FFF2-40B4-BE49-F238E27FC236}">
                  <a16:creationId xmlns:a16="http://schemas.microsoft.com/office/drawing/2014/main" id="{DE460D72-E091-494D-8602-0F0917154B2A}"/>
                </a:ext>
              </a:extLst>
            </xdr:cNvPr>
            <xdr:cNvGraphicFramePr/>
          </xdr:nvGraphicFramePr>
          <xdr:xfrm>
            <a:off x="0" y="0"/>
            <a:ext cx="0" cy="0"/>
          </xdr:xfrm>
          <a:graphic>
            <a:graphicData uri="http://schemas.microsoft.com/office/drawing/2010/slicer">
              <sle:slicer xmlns:sle="http://schemas.microsoft.com/office/drawing/2010/slicer" name="Road Name 1"/>
            </a:graphicData>
          </a:graphic>
        </xdr:graphicFrame>
      </mc:Choice>
      <mc:Fallback xmlns="">
        <xdr:sp macro="" textlink="">
          <xdr:nvSpPr>
            <xdr:cNvPr id="0" name=""/>
            <xdr:cNvSpPr>
              <a:spLocks noTextEdit="1"/>
            </xdr:cNvSpPr>
          </xdr:nvSpPr>
          <xdr:spPr>
            <a:xfrm>
              <a:off x="15727317" y="165099"/>
              <a:ext cx="1784532" cy="5055688"/>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15</xdr:col>
      <xdr:colOff>121557</xdr:colOff>
      <xdr:row>0</xdr:row>
      <xdr:rowOff>166188</xdr:rowOff>
    </xdr:from>
    <xdr:to>
      <xdr:col>18</xdr:col>
      <xdr:colOff>238397</xdr:colOff>
      <xdr:row>29</xdr:row>
      <xdr:rowOff>121557</xdr:rowOff>
    </xdr:to>
    <mc:AlternateContent xmlns:mc="http://schemas.openxmlformats.org/markup-compatibility/2006" xmlns:sle15="http://schemas.microsoft.com/office/drawing/2012/slicer">
      <mc:Choice Requires="sle15">
        <xdr:graphicFrame macro="">
          <xdr:nvGraphicFramePr>
            <xdr:cNvPr id="3" name="Lift/Layer">
              <a:extLst>
                <a:ext uri="{FF2B5EF4-FFF2-40B4-BE49-F238E27FC236}">
                  <a16:creationId xmlns:a16="http://schemas.microsoft.com/office/drawing/2014/main" id="{52DBA880-1C11-40F3-A782-E51632730C32}"/>
                </a:ext>
              </a:extLst>
            </xdr:cNvPr>
            <xdr:cNvGraphicFramePr/>
          </xdr:nvGraphicFramePr>
          <xdr:xfrm>
            <a:off x="0" y="0"/>
            <a:ext cx="0" cy="0"/>
          </xdr:xfrm>
          <a:graphic>
            <a:graphicData uri="http://schemas.microsoft.com/office/drawing/2010/slicer">
              <sle:slicer xmlns:sle="http://schemas.microsoft.com/office/drawing/2010/slicer" name="Lift/Layer"/>
            </a:graphicData>
          </a:graphic>
        </xdr:graphicFrame>
      </mc:Choice>
      <mc:Fallback xmlns="">
        <xdr:sp macro="" textlink="">
          <xdr:nvSpPr>
            <xdr:cNvPr id="0" name=""/>
            <xdr:cNvSpPr>
              <a:spLocks noTextEdit="1"/>
            </xdr:cNvSpPr>
          </xdr:nvSpPr>
          <xdr:spPr>
            <a:xfrm>
              <a:off x="17548497" y="166188"/>
              <a:ext cx="1877060" cy="5045529"/>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18</xdr:col>
      <xdr:colOff>285931</xdr:colOff>
      <xdr:row>0</xdr:row>
      <xdr:rowOff>161833</xdr:rowOff>
    </xdr:from>
    <xdr:to>
      <xdr:col>21</xdr:col>
      <xdr:colOff>496752</xdr:colOff>
      <xdr:row>29</xdr:row>
      <xdr:rowOff>141513</xdr:rowOff>
    </xdr:to>
    <mc:AlternateContent xmlns:mc="http://schemas.openxmlformats.org/markup-compatibility/2006" xmlns:sle15="http://schemas.microsoft.com/office/drawing/2012/slicer">
      <mc:Choice Requires="sle15">
        <xdr:graphicFrame macro="">
          <xdr:nvGraphicFramePr>
            <xdr:cNvPr id="4" name="Date 1">
              <a:extLst>
                <a:ext uri="{FF2B5EF4-FFF2-40B4-BE49-F238E27FC236}">
                  <a16:creationId xmlns:a16="http://schemas.microsoft.com/office/drawing/2014/main" id="{A8E9E9EE-83C3-4F69-947A-B3B07B718A9C}"/>
                </a:ext>
              </a:extLst>
            </xdr:cNvPr>
            <xdr:cNvGraphicFramePr/>
          </xdr:nvGraphicFramePr>
          <xdr:xfrm>
            <a:off x="0" y="0"/>
            <a:ext cx="0" cy="0"/>
          </xdr:xfrm>
          <a:graphic>
            <a:graphicData uri="http://schemas.microsoft.com/office/drawing/2010/slicer">
              <sle:slicer xmlns:sle="http://schemas.microsoft.com/office/drawing/2010/slicer" name="Date 1"/>
            </a:graphicData>
          </a:graphic>
        </xdr:graphicFrame>
      </mc:Choice>
      <mc:Fallback xmlns="">
        <xdr:sp macro="" textlink="">
          <xdr:nvSpPr>
            <xdr:cNvPr id="0" name=""/>
            <xdr:cNvSpPr>
              <a:spLocks noTextEdit="1"/>
            </xdr:cNvSpPr>
          </xdr:nvSpPr>
          <xdr:spPr>
            <a:xfrm>
              <a:off x="19473091" y="161833"/>
              <a:ext cx="1971041" cy="5069840"/>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6755</xdr:colOff>
      <xdr:row>0</xdr:row>
      <xdr:rowOff>6755</xdr:rowOff>
    </xdr:from>
    <xdr:to>
      <xdr:col>1</xdr:col>
      <xdr:colOff>0</xdr:colOff>
      <xdr:row>1</xdr:row>
      <xdr:rowOff>0</xdr:rowOff>
    </xdr:to>
    <xdr:sp macro="[0]!NewDailyReport" textlink="">
      <xdr:nvSpPr>
        <xdr:cNvPr id="2" name="Rectangle 1">
          <a:extLst>
            <a:ext uri="{FF2B5EF4-FFF2-40B4-BE49-F238E27FC236}">
              <a16:creationId xmlns:a16="http://schemas.microsoft.com/office/drawing/2014/main" id="{FC48BF4A-A77E-455C-AC01-6A581CF02802}"/>
            </a:ext>
          </a:extLst>
        </xdr:cNvPr>
        <xdr:cNvSpPr/>
      </xdr:nvSpPr>
      <xdr:spPr>
        <a:xfrm>
          <a:off x="6755" y="6755"/>
          <a:ext cx="1701395" cy="2662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a:t>New Daily</a:t>
          </a:r>
          <a:r>
            <a:rPr lang="en-CA" sz="1100" baseline="0"/>
            <a:t> Report</a:t>
          </a:r>
        </a:p>
        <a:p>
          <a:pPr algn="l"/>
          <a:endParaRPr lang="en-CA" sz="1100"/>
        </a:p>
      </xdr:txBody>
    </xdr:sp>
    <xdr:clientData/>
  </xdr:twoCellAnchor>
  <xdr:twoCellAnchor editAs="oneCell">
    <xdr:from>
      <xdr:col>15</xdr:col>
      <xdr:colOff>131704</xdr:colOff>
      <xdr:row>1</xdr:row>
      <xdr:rowOff>150519</xdr:rowOff>
    </xdr:from>
    <xdr:to>
      <xdr:col>15</xdr:col>
      <xdr:colOff>784847</xdr:colOff>
      <xdr:row>5</xdr:row>
      <xdr:rowOff>163975</xdr:rowOff>
    </xdr:to>
    <xdr:pic>
      <xdr:nvPicPr>
        <xdr:cNvPr id="3" name="Picture 2">
          <a:extLst>
            <a:ext uri="{FF2B5EF4-FFF2-40B4-BE49-F238E27FC236}">
              <a16:creationId xmlns:a16="http://schemas.microsoft.com/office/drawing/2014/main" id="{142FB18E-3080-40CB-9593-797DFF89EC0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6858074" y="423334"/>
          <a:ext cx="653143" cy="75664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colase4.sharepoint.com/Users/Parsonr/Desktop/Admin/new%20job%20folder/Mix%20Design%20Request%20Temp.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Users\Parsonr\Desktop\Admin\new%2520job%2520folder\Mix%2520Design%2520Request%2520Temp.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colase4-my.sharepoint.com/Users/Parsonr/Desktop/Admin/new%20job%20folder/Mix%20Design%20Request%20Tem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SS-1H"/>
      <sheetName val="Selections"/>
    </sheetNames>
    <sheetDataSet>
      <sheetData sheetId="0"/>
      <sheetData sheetId="1">
        <row r="1">
          <cell r="A1" t="str">
            <v>PG 58-28</v>
          </cell>
          <cell r="C1" t="str">
            <v>CIR</v>
          </cell>
          <cell r="E1" t="str">
            <v>MTO LS-297</v>
          </cell>
          <cell r="G1" t="str">
            <v>Screenings</v>
          </cell>
          <cell r="I1" t="str">
            <v>Hydrated Lime</v>
          </cell>
        </row>
        <row r="2">
          <cell r="A2" t="str">
            <v>HF-150M</v>
          </cell>
          <cell r="C2" t="str">
            <v>CIREAM</v>
          </cell>
          <cell r="E2" t="str">
            <v>MTO LS-300</v>
          </cell>
          <cell r="G2" t="str">
            <v>HL-3 Stone</v>
          </cell>
          <cell r="I2" t="str">
            <v>Portland Cement</v>
          </cell>
        </row>
        <row r="3">
          <cell r="A3" t="str">
            <v>HF-150MP</v>
          </cell>
          <cell r="C3" t="str">
            <v>FDR (with EAM)</v>
          </cell>
          <cell r="E3" t="str">
            <v>Wirtgen Method</v>
          </cell>
          <cell r="G3" t="str">
            <v>HL-4 Stone</v>
          </cell>
          <cell r="I3" t="str">
            <v>Fly Ash</v>
          </cell>
        </row>
        <row r="4">
          <cell r="A4" t="str">
            <v>CSS-1h</v>
          </cell>
          <cell r="G4" t="str">
            <v>HL-8 Stone</v>
          </cell>
        </row>
        <row r="5">
          <cell r="A5" t="str">
            <v>CSS-1hP</v>
          </cell>
          <cell r="G5" t="str">
            <v>Granular A</v>
          </cell>
        </row>
        <row r="6">
          <cell r="A6" t="str">
            <v>Other (Specify) --&gt;</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SS-1H"/>
      <sheetName val="Selections"/>
    </sheetNames>
    <sheetDataSet>
      <sheetData sheetId="0"/>
      <sheetData sheetId="1">
        <row r="1">
          <cell r="A1" t="str">
            <v>PG 58-28</v>
          </cell>
          <cell r="C1" t="str">
            <v>CIR</v>
          </cell>
          <cell r="E1" t="str">
            <v>MTO LS-297</v>
          </cell>
          <cell r="G1" t="str">
            <v>Screenings</v>
          </cell>
          <cell r="I1" t="str">
            <v>Hydrated Lime</v>
          </cell>
        </row>
        <row r="2">
          <cell r="A2" t="str">
            <v>HF-150M</v>
          </cell>
          <cell r="C2" t="str">
            <v>CIREAM</v>
          </cell>
          <cell r="E2" t="str">
            <v>MTO LS-300</v>
          </cell>
          <cell r="G2" t="str">
            <v>HL-3 Stone</v>
          </cell>
          <cell r="I2" t="str">
            <v>Portland Cement</v>
          </cell>
        </row>
        <row r="3">
          <cell r="A3" t="str">
            <v>HF-150MP</v>
          </cell>
          <cell r="C3" t="str">
            <v>FDR (with EAM)</v>
          </cell>
          <cell r="E3" t="str">
            <v>Wirtgen Method</v>
          </cell>
          <cell r="G3" t="str">
            <v>HL-4 Stone</v>
          </cell>
          <cell r="I3" t="str">
            <v>Fly Ash</v>
          </cell>
        </row>
        <row r="4">
          <cell r="A4" t="str">
            <v>CSS-1h</v>
          </cell>
          <cell r="G4" t="str">
            <v>HL-8 Stone</v>
          </cell>
        </row>
        <row r="5">
          <cell r="A5" t="str">
            <v>CSS-1hP</v>
          </cell>
          <cell r="G5" t="str">
            <v>Granular A</v>
          </cell>
        </row>
        <row r="6">
          <cell r="A6" t="str">
            <v>Other (Specify) --&gt;</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SS-1H"/>
      <sheetName val="Selections"/>
    </sheetNames>
    <sheetDataSet>
      <sheetData sheetId="0"/>
      <sheetData sheetId="1">
        <row r="1">
          <cell r="A1" t="str">
            <v>PG 58-28</v>
          </cell>
          <cell r="C1" t="str">
            <v>CIR</v>
          </cell>
          <cell r="E1" t="str">
            <v>MTO LS-297</v>
          </cell>
          <cell r="G1" t="str">
            <v>Screenings</v>
          </cell>
          <cell r="I1" t="str">
            <v>Hydrated Lime</v>
          </cell>
        </row>
        <row r="2">
          <cell r="A2" t="str">
            <v>HF-150M</v>
          </cell>
          <cell r="C2" t="str">
            <v>CIREAM</v>
          </cell>
          <cell r="E2" t="str">
            <v>MTO LS-300</v>
          </cell>
          <cell r="G2" t="str">
            <v>HL-3 Stone</v>
          </cell>
          <cell r="I2" t="str">
            <v>Portland Cement</v>
          </cell>
        </row>
        <row r="3">
          <cell r="A3" t="str">
            <v>HF-150MP</v>
          </cell>
          <cell r="C3" t="str">
            <v>FDR (with EAM)</v>
          </cell>
          <cell r="E3" t="str">
            <v>Wirtgen Method</v>
          </cell>
          <cell r="G3" t="str">
            <v>HL-4 Stone</v>
          </cell>
          <cell r="I3" t="str">
            <v>Fly Ash</v>
          </cell>
        </row>
        <row r="4">
          <cell r="A4" t="str">
            <v>CSS-1h</v>
          </cell>
          <cell r="G4" t="str">
            <v>HL-8 Stone</v>
          </cell>
        </row>
        <row r="5">
          <cell r="A5" t="str">
            <v>CSS-1hP</v>
          </cell>
          <cell r="G5" t="str">
            <v>Granular A</v>
          </cell>
        </row>
        <row r="6">
          <cell r="A6" t="str">
            <v>Other (Specify) --&gt;</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bie MacMaster" refreshedDate="44706.470267129633" createdVersion="7" refreshedVersion="7" minRefreshableVersion="3" recordCount="3" xr:uid="{692C66B3-9C8F-4709-9F47-59E8F7302CF2}">
  <cacheSource type="worksheet">
    <worksheetSource name="Append1"/>
  </cacheSource>
  <cacheFields count="9">
    <cacheField name="Date" numFmtId="14">
      <sharedItems containsSemiMixedTypes="0" containsNonDate="0" containsDate="1" containsString="0" minDate="2022-05-25T00:00:00" maxDate="2022-05-26T00:00:00" count="1">
        <d v="2022-05-25T00:00:00"/>
      </sharedItems>
    </cacheField>
    <cacheField name="ROAD NAME" numFmtId="0">
      <sharedItems containsBlank="1" count="3">
        <s v="Miller Ave"/>
        <s v="Joe Ave"/>
        <m u="1"/>
      </sharedItems>
    </cacheField>
    <cacheField name="UNIT#" numFmtId="0">
      <sharedItems containsSemiMixedTypes="0" containsString="0" containsNumber="1" containsInteger="1" minValue="1701" maxValue="1701"/>
    </cacheField>
    <cacheField name="LAYER" numFmtId="0">
      <sharedItems containsBlank="1" count="3">
        <s v="Bottom"/>
        <s v="Top"/>
        <m u="1"/>
      </sharedItems>
    </cacheField>
    <cacheField name="EMULSION SPRAYED (L)" numFmtId="0">
      <sharedItems containsSemiMixedTypes="0" containsString="0" containsNumber="1" containsInteger="1" minValue="10000" maxValue="10000"/>
    </cacheField>
    <cacheField name="AGG. USED (kg)" numFmtId="0">
      <sharedItems containsSemiMixedTypes="0" containsString="0" containsNumber="1" containsInteger="1" minValue="200000" maxValue="200000"/>
    </cacheField>
    <cacheField name="LENGTH (m)" numFmtId="0">
      <sharedItems containsSemiMixedTypes="0" containsString="0" containsNumber="1" containsInteger="1" minValue="1000" maxValue="1000"/>
    </cacheField>
    <cacheField name="WIDTH (m)" numFmtId="0">
      <sharedItems containsSemiMixedTypes="0" containsString="0" containsNumber="1" containsInteger="1" minValue="6" maxValue="6"/>
    </cacheField>
    <cacheField name="AREA (m2)" numFmtId="0">
      <sharedItems containsSemiMixedTypes="0" containsString="0" containsNumber="1" containsInteger="1" minValue="6000" maxValue="60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
  <r>
    <x v="0"/>
    <x v="0"/>
    <n v="1701"/>
    <x v="0"/>
    <n v="10000"/>
    <n v="200000"/>
    <n v="1000"/>
    <n v="6"/>
    <n v="6000"/>
  </r>
  <r>
    <x v="0"/>
    <x v="0"/>
    <n v="1701"/>
    <x v="1"/>
    <n v="10000"/>
    <n v="200000"/>
    <n v="1000"/>
    <n v="6"/>
    <n v="6000"/>
  </r>
  <r>
    <x v="0"/>
    <x v="1"/>
    <n v="1701"/>
    <x v="1"/>
    <n v="10000"/>
    <n v="200000"/>
    <n v="1000"/>
    <n v="6"/>
    <n v="6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2857F13-DE75-4F1C-BD3F-C92335B61136}" name="PivotTable1" cacheId="3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K1:Q7" firstHeaderRow="1" firstDataRow="3" firstDataCol="1"/>
  <pivotFields count="9">
    <pivotField axis="axisRow" showAll="0">
      <items count="2">
        <item x="0"/>
        <item t="default"/>
      </items>
    </pivotField>
    <pivotField axis="axisRow" showAll="0">
      <items count="4">
        <item m="1" x="2"/>
        <item x="0"/>
        <item x="1"/>
        <item t="default"/>
      </items>
    </pivotField>
    <pivotField showAll="0"/>
    <pivotField axis="axisCol" showAll="0">
      <items count="4">
        <item m="1" x="2"/>
        <item x="0"/>
        <item x="1"/>
        <item t="default"/>
      </items>
    </pivotField>
    <pivotField dataField="1" showAll="0"/>
    <pivotField dataField="1" showAll="0"/>
    <pivotField showAll="0"/>
    <pivotField showAll="0"/>
    <pivotField showAll="0"/>
  </pivotFields>
  <rowFields count="2">
    <field x="0"/>
    <field x="1"/>
  </rowFields>
  <rowItems count="4">
    <i>
      <x/>
    </i>
    <i r="1">
      <x v="1"/>
    </i>
    <i r="1">
      <x v="2"/>
    </i>
    <i t="grand">
      <x/>
    </i>
  </rowItems>
  <colFields count="2">
    <field x="-2"/>
    <field x="3"/>
  </colFields>
  <colItems count="6">
    <i>
      <x/>
      <x v="1"/>
    </i>
    <i r="1">
      <x v="2"/>
    </i>
    <i i="1">
      <x v="1"/>
      <x v="1"/>
    </i>
    <i r="1" i="1">
      <x v="2"/>
    </i>
    <i t="grand">
      <x/>
    </i>
    <i t="grand" i="1">
      <x/>
    </i>
  </colItems>
  <dataFields count="2">
    <dataField name="Sum of EMULSION SPRAYED (L)" fld="4" baseField="0" baseItem="0"/>
    <dataField name="Sum of AGG. USED (kg)"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972B88EB-D659-474B-AEFA-64B75DCD1F5B}" autoFormatId="16" applyNumberFormats="0" applyBorderFormats="0" applyFontFormats="0" applyPatternFormats="0" applyAlignmentFormats="0" applyWidthHeightFormats="0">
  <queryTableRefresh nextId="10">
    <queryTableFields count="9">
      <queryTableField id="1" name="Date" tableColumnId="10"/>
      <queryTableField id="2" name="ROAD NAME" tableColumnId="2"/>
      <queryTableField id="3" name="UNIT#" tableColumnId="3"/>
      <queryTableField id="4" name="LAYER" tableColumnId="4"/>
      <queryTableField id="5" name="EMULSION SPRAYED (L)" tableColumnId="5"/>
      <queryTableField id="6" name="AGG. USED (kg)" tableColumnId="6"/>
      <queryTableField id="7" name="LENGTH (m)" tableColumnId="7"/>
      <queryTableField id="8" name="WIDTH (m)" tableColumnId="8"/>
      <queryTableField id="9" name="AREA (m2)"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oad_Name" xr10:uid="{20A3D036-C90F-4C81-93BE-337E319E18FF}" sourceName="Road Name">
  <extLst>
    <x:ext xmlns:x15="http://schemas.microsoft.com/office/spreadsheetml/2010/11/main" uri="{2F2917AC-EB37-4324-AD4E-5DD8C200BD13}">
      <x15:tableSlicerCache tableId="11"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2DE34C9A-1AC0-4387-957D-1C6E519C0D9F}" sourceName="Type">
  <extLst>
    <x:ext xmlns:x15="http://schemas.microsoft.com/office/spreadsheetml/2010/11/main" uri="{2F2917AC-EB37-4324-AD4E-5DD8C200BD13}">
      <x15:tableSlicerCache tableId="11" column="1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A9B04E16-F6D4-4223-B132-540CD5C1368D}" sourceName="Date">
  <extLst>
    <x:ext xmlns:x15="http://schemas.microsoft.com/office/spreadsheetml/2010/11/main" uri="{2F2917AC-EB37-4324-AD4E-5DD8C200BD13}">
      <x15:tableSlicerCache tableId="11" column="12"/>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oad_Name1" xr10:uid="{734D658E-9BBF-472A-AD6F-F03B31370B72}" sourceName="Road Name">
  <extLst>
    <x:ext xmlns:x15="http://schemas.microsoft.com/office/spreadsheetml/2010/11/main" uri="{2F2917AC-EB37-4324-AD4E-5DD8C200BD13}">
      <x15:tableSlicerCache tableId="12" column="1"/>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ift_Layer" xr10:uid="{56CF7E9F-4206-4744-9C66-476F01DD8074}" sourceName="Lift/Layer">
  <extLst>
    <x:ext xmlns:x15="http://schemas.microsoft.com/office/spreadsheetml/2010/11/main" uri="{2F2917AC-EB37-4324-AD4E-5DD8C200BD13}">
      <x15:tableSlicerCache tableId="12" column="14"/>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1" xr10:uid="{DE4355AC-9AFB-4E0D-B893-897EFBBE55DE}" sourceName="Date">
  <extLst>
    <x:ext xmlns:x15="http://schemas.microsoft.com/office/spreadsheetml/2010/11/main" uri="{2F2917AC-EB37-4324-AD4E-5DD8C200BD13}">
      <x15:tableSlicerCache tableId="12" column="12"/>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oad Name" xr10:uid="{A7A43961-2BD2-4FD5-BBDE-F223AE002E6F}" cache="Slicer_Road_Name" caption="Road Name" rowHeight="234950"/>
  <slicer name="Type" xr10:uid="{6BDA1014-F38C-4224-837E-C1ED6E1EFE33}" cache="Slicer_Type" caption="Type" rowHeight="234950"/>
  <slicer name="Date" xr10:uid="{EFF64FE6-A14E-4474-97DE-01C0CE2F870B}" cache="Slicer_Date" caption="Date"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oad Name 1" xr10:uid="{3F418B8E-1CF6-4D36-8DD0-6124CE1F2BBF}" cache="Slicer_Road_Name1" caption="Road Name" rowHeight="234950"/>
  <slicer name="Lift/Layer" xr10:uid="{ACB0B0FD-A7D0-42C3-BA0C-807B31A84A85}" cache="Slicer_Lift_Layer" caption="Lift/Layer" rowHeight="234950"/>
  <slicer name="Date 1" xr10:uid="{7C279F52-E7C6-4942-9A85-594C557BF00D}" cache="Slicer_Date1" caption="Date"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83F3ACF-2C84-4860-924C-D5FC9228501C}" name="Append1" displayName="Append1" ref="A1:I4" tableType="queryTable" totalsRowShown="0">
  <autoFilter ref="A1:I4" xr:uid="{783F3ACF-2C84-4860-924C-D5FC9228501C}"/>
  <tableColumns count="9">
    <tableColumn id="10" xr3:uid="{EA5275A6-936E-4802-944C-1145452360EB}" uniqueName="10" name="Date" queryTableFieldId="1" dataDxfId="8"/>
    <tableColumn id="2" xr3:uid="{7C5AC877-B8B7-4952-9FEC-67FD28ACDFA1}" uniqueName="2" name="ROAD NAME" queryTableFieldId="2" dataDxfId="7"/>
    <tableColumn id="3" xr3:uid="{F732C2ED-8A49-4D01-995C-20FF20BF0D76}" uniqueName="3" name="UNIT#" queryTableFieldId="3" dataDxfId="6"/>
    <tableColumn id="4" xr3:uid="{B5F38E73-8B1C-460F-9335-040AF8192042}" uniqueName="4" name="LAYER" queryTableFieldId="4" dataDxfId="5"/>
    <tableColumn id="5" xr3:uid="{26709FB0-1C35-4878-BD44-5876CF7B7E9B}" uniqueName="5" name="EMULSION SPRAYED (L)" queryTableFieldId="5" dataDxfId="4"/>
    <tableColumn id="6" xr3:uid="{A366FA59-B4A6-4E6A-9983-908A0923500D}" uniqueName="6" name="AGG. USED (kg)" queryTableFieldId="6" dataDxfId="3"/>
    <tableColumn id="7" xr3:uid="{B8C05BD0-64CD-4BD7-9229-8E1DC6491476}" uniqueName="7" name="LENGTH (m)" queryTableFieldId="7" dataDxfId="2"/>
    <tableColumn id="8" xr3:uid="{87FA45F0-7120-4376-B6C2-81AF44E3FE12}" uniqueName="8" name="WIDTH (m)" queryTableFieldId="8" dataDxfId="1"/>
    <tableColumn id="9" xr3:uid="{72D0C623-02E5-452F-ADB2-E33A23CD9F6A}" uniqueName="9" name="AREA (m2)" queryTableFieldId="9" dataDxfId="0"/>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CED8EAB-0654-438E-8135-514EB300FBBA}" name="Table112" displayName="Table112" ref="A2:M32" totalsRowShown="0" headerRowDxfId="72" dataDxfId="70" headerRowBorderDxfId="71" tableBorderDxfId="69">
  <autoFilter ref="A2:M32" xr:uid="{135657E3-9EFD-48F2-8D8F-67A76A6A99D3}"/>
  <tableColumns count="13">
    <tableColumn id="1" xr3:uid="{F933FCE5-9449-47FA-BF61-9875827E826B}" name="Road Name" dataDxfId="68"/>
    <tableColumn id="13" xr3:uid="{8645A964-CD18-44B7-AFD7-5CBAFE6879F3}" name="Type" dataDxfId="67"/>
    <tableColumn id="12" xr3:uid="{DA3BE932-D2DB-4C34-9B96-0676198FF210}" name="Date" dataDxfId="66"/>
    <tableColumn id="7" xr3:uid="{BAB56FEE-4564-4CB4-95AF-FBF60873B152}" name="Time" dataDxfId="65"/>
    <tableColumn id="9" xr3:uid="{F689AEFB-BB77-449C-A6A7-410D20C4CD9B}" name="Ticket #:" dataDxfId="64"/>
    <tableColumn id="8" xr3:uid="{651839C7-0BAD-429C-B103-203BBBE1F557}" name="CofA(Y/N)" dataDxfId="63"/>
    <tableColumn id="2" xr3:uid="{071E3DF7-495B-4C18-BA99-AB69681F0790}" name="TEMP (°C)" dataDxfId="62"/>
    <tableColumn id="11" xr3:uid="{E3987171-42AB-4CE5-A9F3-A1A92FBD576F}" name="VOLUME (L)" dataDxfId="61"/>
    <tableColumn id="3" xr3:uid="{461F3E31-16F8-4E15-B087-80FCD59F8D47}" name="Gross" dataDxfId="60"/>
    <tableColumn id="4" xr3:uid="{B2591F17-DBAE-4921-936C-64CEF60DB4BE}" name="Tare" dataDxfId="59"/>
    <tableColumn id="5" xr3:uid="{AC5F0F67-A393-4770-A673-4FBA4F9DE6BA}" name="Net" dataDxfId="58"/>
    <tableColumn id="6" xr3:uid="{F3CBAAFF-BA4E-4CA7-8278-46969557EF17}" name="Credit" dataDxfId="57"/>
    <tableColumn id="10" xr3:uid="{336AA146-77A6-4767-8FB8-DFADA9685AB6}" name="Comments" dataDxfId="56"/>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581090E-8972-49C0-B573-CD4F4C33C7E8}" name="Table1413" displayName="Table1413" ref="A2:L61" totalsRowShown="0" headerRowDxfId="55" dataDxfId="53" headerRowBorderDxfId="54" tableBorderDxfId="52">
  <autoFilter ref="A2:L61" xr:uid="{4E5E7B5E-5DCE-4656-8B50-9235A9A43B27}"/>
  <tableColumns count="12">
    <tableColumn id="1" xr3:uid="{5AC7356D-E013-4AFB-A9E9-2FF0333EFF89}" name="Road Name" dataDxfId="51"/>
    <tableColumn id="14" xr3:uid="{B48FCC54-A17B-451E-954E-ABD4F9A7A8B1}" name="Lift/Layer" dataDxfId="50"/>
    <tableColumn id="15" xr3:uid="{EA6FCE71-353A-4E61-AC99-E220FF35D78D}" name="Class" dataDxfId="49"/>
    <tableColumn id="12" xr3:uid="{F5364191-14D9-452B-95AD-72FB74E6EDC9}" name="Date" dataDxfId="48"/>
    <tableColumn id="7" xr3:uid="{A0F3627F-50A5-4813-8DD8-940AE5AEBA8C}" name="Time" dataDxfId="47"/>
    <tableColumn id="13" xr3:uid="{3EADD7A6-BE68-4445-87CE-37D043B1F8CB}" name="Quarry/Stockpile" dataDxfId="46"/>
    <tableColumn id="9" xr3:uid="{F78D1ACA-8779-45DB-A04C-B9E2B4394666}" name="Ticket #:" dataDxfId="45"/>
    <tableColumn id="3" xr3:uid="{E1122340-F136-4B50-9E32-5DF46D2EAF9F}" name="Gross" dataDxfId="44"/>
    <tableColumn id="4" xr3:uid="{3601C247-0D18-4326-BF6D-810F01256181}" name="Tare" dataDxfId="43"/>
    <tableColumn id="5" xr3:uid="{9A1CA31E-71D3-400E-980C-A55614E28BB2}" name="Net" dataDxfId="42"/>
    <tableColumn id="6" xr3:uid="{A453BC12-928E-4F07-969E-8C895A0663CF}" name="Credit" dataDxfId="41"/>
    <tableColumn id="10" xr3:uid="{91A9A00D-5E4A-488E-BC4C-8C1EDBB25C2A}" name="Comments" dataDxfId="40"/>
  </tableColumns>
  <tableStyleInfo name="TableStyleMedium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03E236E-7068-4B8A-99D6-A23EC9993754}" name="Table4" displayName="Table4" ref="A1:J1048575" totalsRowShown="0" headerRowDxfId="39" dataDxfId="37" headerRowBorderDxfId="38">
  <autoFilter ref="A1:J1048575" xr:uid="{330DB531-48AF-4873-8979-4698A8370365}"/>
  <tableColumns count="10">
    <tableColumn id="1" xr3:uid="{68F920B8-69BE-4D53-9B33-18E5679D1382}" name="Date" dataDxfId="36"/>
    <tableColumn id="15" xr3:uid="{86523201-5479-45EC-B22A-A3D3CD0F6D50}" name="Time" dataDxfId="35"/>
    <tableColumn id="2" xr3:uid="{12461825-6F1F-4193-94DA-B3E9E08E2A37}" name="Tech" dataDxfId="34"/>
    <tableColumn id="3" xr3:uid="{28882110-6F32-4F07-95F7-B29E5F108631}" name="Station" dataDxfId="33"/>
    <tableColumn id="4" xr3:uid="{56A93633-DA2E-4169-9062-D3FA41C6F335}" name="Lane" dataDxfId="32"/>
    <tableColumn id="5" xr3:uid="{36D5660C-5F00-4ACD-BC64-219FA6D33DBE}" name="Sample Description" dataDxfId="31"/>
    <tableColumn id="7" xr3:uid="{8E01794B-E095-49DA-8D92-0154F501899C}" name="Lab Test Requested" dataDxfId="30"/>
    <tableColumn id="9" xr3:uid="{5621F44F-1C82-40A0-B9CC-9C3B56097D27}" name="Lot No." dataDxfId="29"/>
    <tableColumn id="10" xr3:uid="{AD4E995A-4838-49C5-A8BE-0D844B885C4D}" name="Sublot No." dataDxfId="28"/>
    <tableColumn id="11" xr3:uid="{70B3488F-3AD8-4591-A881-2E0E4C9EAFF1}" name="Tag Numbers" dataDxfId="27"/>
  </tableColumns>
  <tableStyleInfo name="TableStyleMedium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5DF53E6-9D8F-4B61-BF21-E34471D34741}" name="June1" displayName="June1" ref="C11:K23" totalsRowShown="0" headerRowDxfId="26" headerRowBorderDxfId="25" tableBorderDxfId="24">
  <autoFilter ref="C11:K23" xr:uid="{530609F5-8413-4885-A93D-BE0360D39DD6}"/>
  <tableColumns count="9">
    <tableColumn id="1" xr3:uid="{9DBA9D51-96A1-4821-B655-DB65D23714B6}" name="Date" dataDxfId="10">
      <calculatedColumnFormula>IF(June1[[#This Row],[ROAD NAME]]&lt;&gt;"",$B$3,"")</calculatedColumnFormula>
    </tableColumn>
    <tableColumn id="2" xr3:uid="{FA7AEB28-5D46-4122-B283-60958FC46233}" name="ROAD NAME" dataDxfId="23"/>
    <tableColumn id="3" xr3:uid="{96AA00E5-8849-459A-9848-C22280D12765}" name="UNIT#" dataDxfId="22"/>
    <tableColumn id="4" xr3:uid="{27EC9A3D-DCA8-4F50-B44C-73685954DFB1}" name="LAYER" dataDxfId="21"/>
    <tableColumn id="5" xr3:uid="{BCA04D50-28DB-407C-9184-CC2679EA3525}" name="EMULSION SPRAYED (L)" dataDxfId="20"/>
    <tableColumn id="6" xr3:uid="{1568D8BE-ECE0-435B-A019-F1A54D44E387}" name="AGG. USED (kg)" dataDxfId="19"/>
    <tableColumn id="7" xr3:uid="{0231D51A-194A-4911-BF7C-A401C5A096EA}" name="LENGTH (m)" dataDxfId="18"/>
    <tableColumn id="8" xr3:uid="{568D4579-14DD-4C2B-9421-6AAF65A240F1}" name="WIDTH (m)" dataDxfId="17"/>
    <tableColumn id="9" xr3:uid="{9D008A1F-320D-40B4-A25A-2E9E72037D57}" name="AREA (m2)" dataDxfId="16">
      <calculatedColumnFormula>June1[[#This Row],[LENGTH (m)]]*June1[[#This Row],[WIDTH (m)]]</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F0EFC7A-074F-4777-8E8E-6C2233DCC40D}" name="Table2" displayName="Table2" ref="A5:C46" totalsRowShown="0" headerRowDxfId="15" headerRowBorderDxfId="14">
  <autoFilter ref="A5:C46" xr:uid="{DA963E50-6B10-4F10-88D4-5FEEC6E68694}"/>
  <tableColumns count="3">
    <tableColumn id="2" xr3:uid="{0E2CF2CC-3159-441C-9617-5450814C06CE}" name="Type" dataDxfId="13"/>
    <tableColumn id="3" xr3:uid="{7CD6D440-043B-4E12-B715-3E78DF6C36BE}" name="Date" dataDxfId="12"/>
    <tableColumn id="4" xr3:uid="{76DD2683-7961-4018-A07A-50D77BB4E78E}" name="Comments" dataDxfId="11"/>
  </tableColumns>
  <tableStyleInfo name="TableStyleDark10"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microsoft.com/office/2007/relationships/slicer" Target="../slicers/slicer1.xml"/><Relationship Id="rId4"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microsoft.com/office/2007/relationships/slicer" Target="../slicers/slicer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vmlDrawing" Target="../drawings/vmlDrawing2.vml"/><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table" Target="../tables/table4.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6" Type="http://schemas.openxmlformats.org/officeDocument/2006/relationships/hyperlink" Target="https://weather.gc.ca/city/pages/on-150_metric_e.html" TargetMode="External"/><Relationship Id="rId117" Type="http://schemas.openxmlformats.org/officeDocument/2006/relationships/hyperlink" Target="https://weather.gc.ca/city/pages/on-27_metric_e.html" TargetMode="External"/><Relationship Id="rId21" Type="http://schemas.openxmlformats.org/officeDocument/2006/relationships/hyperlink" Target="https://weather.gc.ca/city/pages/on-81_metric_e.html" TargetMode="External"/><Relationship Id="rId42" Type="http://schemas.openxmlformats.org/officeDocument/2006/relationships/hyperlink" Target="https://weather.gc.ca/city/pages/on-37_metric_e.html" TargetMode="External"/><Relationship Id="rId47" Type="http://schemas.openxmlformats.org/officeDocument/2006/relationships/hyperlink" Target="https://weather.gc.ca/city/pages/on-153_metric_e.html" TargetMode="External"/><Relationship Id="rId63" Type="http://schemas.openxmlformats.org/officeDocument/2006/relationships/hyperlink" Target="https://weather.gc.ca/city/pages/on-142_metric_e.html" TargetMode="External"/><Relationship Id="rId68" Type="http://schemas.openxmlformats.org/officeDocument/2006/relationships/hyperlink" Target="https://weather.gc.ca/city/pages/on-146_metric_e.html" TargetMode="External"/><Relationship Id="rId84" Type="http://schemas.openxmlformats.org/officeDocument/2006/relationships/hyperlink" Target="https://weather.gc.ca/city/pages/on-163_metric_e.html" TargetMode="External"/><Relationship Id="rId89" Type="http://schemas.openxmlformats.org/officeDocument/2006/relationships/hyperlink" Target="https://weather.gc.ca/city/pages/on-49_metric_e.html" TargetMode="External"/><Relationship Id="rId112" Type="http://schemas.openxmlformats.org/officeDocument/2006/relationships/hyperlink" Target="https://weather.gc.ca/city/pages/on-55_metric_e.html" TargetMode="External"/><Relationship Id="rId133" Type="http://schemas.openxmlformats.org/officeDocument/2006/relationships/hyperlink" Target="https://weather.gc.ca/city/pages/on-135_metric_e.html" TargetMode="External"/><Relationship Id="rId138" Type="http://schemas.openxmlformats.org/officeDocument/2006/relationships/hyperlink" Target="https://weather.gc.ca/city/pages/on-98_metric_e.html" TargetMode="External"/><Relationship Id="rId154" Type="http://schemas.openxmlformats.org/officeDocument/2006/relationships/hyperlink" Target="https://weather.gc.ca/city/pages/on-64_metric_e.html" TargetMode="External"/><Relationship Id="rId159" Type="http://schemas.openxmlformats.org/officeDocument/2006/relationships/hyperlink" Target="https://weather.gc.ca/city/pages/on-14_metric_e.html" TargetMode="External"/><Relationship Id="rId170" Type="http://schemas.openxmlformats.org/officeDocument/2006/relationships/hyperlink" Target="https://weather.gc.ca/city/pages/on-122_metric_e.html" TargetMode="External"/><Relationship Id="rId16" Type="http://schemas.openxmlformats.org/officeDocument/2006/relationships/hyperlink" Target="https://weather.gc.ca/city/pages/on-86_metric_e.html" TargetMode="External"/><Relationship Id="rId107" Type="http://schemas.openxmlformats.org/officeDocument/2006/relationships/hyperlink" Target="https://weather.gc.ca/city/pages/on-131_metric_e.html" TargetMode="External"/><Relationship Id="rId11" Type="http://schemas.openxmlformats.org/officeDocument/2006/relationships/hyperlink" Target="https://weather.gc.ca/city/pages/on-3_metric_e.html" TargetMode="External"/><Relationship Id="rId32" Type="http://schemas.openxmlformats.org/officeDocument/2006/relationships/hyperlink" Target="https://weather.gc.ca/city/pages/on-36_metric_e.html" TargetMode="External"/><Relationship Id="rId37" Type="http://schemas.openxmlformats.org/officeDocument/2006/relationships/hyperlink" Target="https://weather.gc.ca/city/pages/on-12_metric_e.html" TargetMode="External"/><Relationship Id="rId53" Type="http://schemas.openxmlformats.org/officeDocument/2006/relationships/hyperlink" Target="https://weather.gc.ca/city/pages/on-165_metric_e.html" TargetMode="External"/><Relationship Id="rId58" Type="http://schemas.openxmlformats.org/officeDocument/2006/relationships/hyperlink" Target="https://weather.gc.ca/city/pages/on-78_metric_e.html" TargetMode="External"/><Relationship Id="rId74" Type="http://schemas.openxmlformats.org/officeDocument/2006/relationships/hyperlink" Target="https://weather.gc.ca/city/pages/on-46_metric_e.html" TargetMode="External"/><Relationship Id="rId79" Type="http://schemas.openxmlformats.org/officeDocument/2006/relationships/hyperlink" Target="https://weather.gc.ca/city/pages/on-108_metric_e.html" TargetMode="External"/><Relationship Id="rId102" Type="http://schemas.openxmlformats.org/officeDocument/2006/relationships/hyperlink" Target="https://weather.gc.ca/city/pages/on-52_metric_e.html" TargetMode="External"/><Relationship Id="rId123" Type="http://schemas.openxmlformats.org/officeDocument/2006/relationships/hyperlink" Target="https://weather.gc.ca/city/pages/on-141_metric_e.html" TargetMode="External"/><Relationship Id="rId128" Type="http://schemas.openxmlformats.org/officeDocument/2006/relationships/hyperlink" Target="https://weather.gc.ca/city/pages/on-162_metric_e.html" TargetMode="External"/><Relationship Id="rId144" Type="http://schemas.openxmlformats.org/officeDocument/2006/relationships/hyperlink" Target="https://weather.gc.ca/city/pages/on-22_metric_e.html" TargetMode="External"/><Relationship Id="rId149" Type="http://schemas.openxmlformats.org/officeDocument/2006/relationships/hyperlink" Target="https://weather.gc.ca/city/pages/on-157_metric_e.html" TargetMode="External"/><Relationship Id="rId5" Type="http://schemas.openxmlformats.org/officeDocument/2006/relationships/hyperlink" Target="https://weather.gc.ca/city/pages/on-111_metric_e.html" TargetMode="External"/><Relationship Id="rId90" Type="http://schemas.openxmlformats.org/officeDocument/2006/relationships/hyperlink" Target="https://weather.gc.ca/city/pages/on-25_metric_e.html" TargetMode="External"/><Relationship Id="rId95" Type="http://schemas.openxmlformats.org/officeDocument/2006/relationships/hyperlink" Target="https://weather.gc.ca/city/pages/on-51_metric_e.html" TargetMode="External"/><Relationship Id="rId160" Type="http://schemas.openxmlformats.org/officeDocument/2006/relationships/hyperlink" Target="https://weather.gc.ca/city/pages/on-65_metric_e.html" TargetMode="External"/><Relationship Id="rId165" Type="http://schemas.openxmlformats.org/officeDocument/2006/relationships/hyperlink" Target="https://weather.gc.ca/city/pages/on-155_metric_e.html" TargetMode="External"/><Relationship Id="rId22" Type="http://schemas.openxmlformats.org/officeDocument/2006/relationships/hyperlink" Target="https://weather.gc.ca/city/pages/on-91_metric_e.html" TargetMode="External"/><Relationship Id="rId27" Type="http://schemas.openxmlformats.org/officeDocument/2006/relationships/hyperlink" Target="https://weather.gc.ca/city/pages/on-152_metric_e.html" TargetMode="External"/><Relationship Id="rId43" Type="http://schemas.openxmlformats.org/officeDocument/2006/relationships/hyperlink" Target="https://weather.gc.ca/city/pages/on-144_metric_e.html" TargetMode="External"/><Relationship Id="rId48" Type="http://schemas.openxmlformats.org/officeDocument/2006/relationships/hyperlink" Target="https://weather.gc.ca/city/pages/on-70_metric_e.html" TargetMode="External"/><Relationship Id="rId64" Type="http://schemas.openxmlformats.org/officeDocument/2006/relationships/hyperlink" Target="https://weather.gc.ca/city/pages/on-44_metric_e.html" TargetMode="External"/><Relationship Id="rId69" Type="http://schemas.openxmlformats.org/officeDocument/2006/relationships/hyperlink" Target="https://weather.gc.ca/city/pages/on-28_metric_e.html" TargetMode="External"/><Relationship Id="rId113" Type="http://schemas.openxmlformats.org/officeDocument/2006/relationships/hyperlink" Target="https://weather.gc.ca/city/pages/on-56_metric_e.html" TargetMode="External"/><Relationship Id="rId118" Type="http://schemas.openxmlformats.org/officeDocument/2006/relationships/hyperlink" Target="https://weather.gc.ca/city/pages/on-57_metric_e.html" TargetMode="External"/><Relationship Id="rId134" Type="http://schemas.openxmlformats.org/officeDocument/2006/relationships/hyperlink" Target="https://weather.gc.ca/city/pages/on-166_metric_e.html" TargetMode="External"/><Relationship Id="rId139" Type="http://schemas.openxmlformats.org/officeDocument/2006/relationships/hyperlink" Target="https://weather.gc.ca/city/pages/on-115_metric_e.html" TargetMode="External"/><Relationship Id="rId80" Type="http://schemas.openxmlformats.org/officeDocument/2006/relationships/hyperlink" Target="https://weather.gc.ca/city/pages/on-85_metric_e.html" TargetMode="External"/><Relationship Id="rId85" Type="http://schemas.openxmlformats.org/officeDocument/2006/relationships/hyperlink" Target="https://weather.gc.ca/city/pages/on-113_metric_e.html" TargetMode="External"/><Relationship Id="rId150" Type="http://schemas.openxmlformats.org/officeDocument/2006/relationships/hyperlink" Target="https://weather.gc.ca/city/pages/on-143_metric_e.html" TargetMode="External"/><Relationship Id="rId155" Type="http://schemas.openxmlformats.org/officeDocument/2006/relationships/hyperlink" Target="https://weather.gc.ca/city/pages/on-109_metric_e.html" TargetMode="External"/><Relationship Id="rId171" Type="http://schemas.openxmlformats.org/officeDocument/2006/relationships/printerSettings" Target="../printerSettings/printerSettings6.bin"/><Relationship Id="rId12" Type="http://schemas.openxmlformats.org/officeDocument/2006/relationships/hyperlink" Target="https://weather.gc.ca/city/pages/on-124_metric_e.html" TargetMode="External"/><Relationship Id="rId17" Type="http://schemas.openxmlformats.org/officeDocument/2006/relationships/hyperlink" Target="https://weather.gc.ca/city/pages/on-8_metric_e.html" TargetMode="External"/><Relationship Id="rId33" Type="http://schemas.openxmlformats.org/officeDocument/2006/relationships/hyperlink" Target="https://weather.gc.ca/city/pages/on-167_metric_e.html" TargetMode="External"/><Relationship Id="rId38" Type="http://schemas.openxmlformats.org/officeDocument/2006/relationships/hyperlink" Target="https://weather.gc.ca/city/pages/on-159_metric_e.html" TargetMode="External"/><Relationship Id="rId59" Type="http://schemas.openxmlformats.org/officeDocument/2006/relationships/hyperlink" Target="https://weather.gc.ca/city/pages/on-88_metric_e.html" TargetMode="External"/><Relationship Id="rId103" Type="http://schemas.openxmlformats.org/officeDocument/2006/relationships/hyperlink" Target="https://weather.gc.ca/city/pages/on-7_metric_e.html" TargetMode="External"/><Relationship Id="rId108" Type="http://schemas.openxmlformats.org/officeDocument/2006/relationships/hyperlink" Target="https://weather.gc.ca/city/pages/on-112_metric_e.html" TargetMode="External"/><Relationship Id="rId124" Type="http://schemas.openxmlformats.org/officeDocument/2006/relationships/hyperlink" Target="https://weather.gc.ca/city/pages/on-105_metric_e.html" TargetMode="External"/><Relationship Id="rId129" Type="http://schemas.openxmlformats.org/officeDocument/2006/relationships/hyperlink" Target="https://weather.gc.ca/city/pages/on-134_metric_e.html" TargetMode="External"/><Relationship Id="rId54" Type="http://schemas.openxmlformats.org/officeDocument/2006/relationships/hyperlink" Target="https://weather.gc.ca/city/pages/on-68_metric_e.html" TargetMode="External"/><Relationship Id="rId70" Type="http://schemas.openxmlformats.org/officeDocument/2006/relationships/hyperlink" Target="https://weather.gc.ca/city/pages/on-69_metric_e.html" TargetMode="External"/><Relationship Id="rId75" Type="http://schemas.openxmlformats.org/officeDocument/2006/relationships/hyperlink" Target="https://weather.gc.ca/city/pages/on-87_metric_e.html" TargetMode="External"/><Relationship Id="rId91" Type="http://schemas.openxmlformats.org/officeDocument/2006/relationships/hyperlink" Target="https://weather.gc.ca/city/pages/on-125_metric_e.html" TargetMode="External"/><Relationship Id="rId96" Type="http://schemas.openxmlformats.org/officeDocument/2006/relationships/hyperlink" Target="https://weather.gc.ca/city/pages/on-79_metric_e.html" TargetMode="External"/><Relationship Id="rId140" Type="http://schemas.openxmlformats.org/officeDocument/2006/relationships/hyperlink" Target="https://weather.gc.ca/city/pages/on-116_metric_e.html" TargetMode="External"/><Relationship Id="rId145" Type="http://schemas.openxmlformats.org/officeDocument/2006/relationships/hyperlink" Target="https://weather.gc.ca/city/pages/on-123_metric_e.html" TargetMode="External"/><Relationship Id="rId161" Type="http://schemas.openxmlformats.org/officeDocument/2006/relationships/hyperlink" Target="https://weather.gc.ca/city/pages/on-66_metric_e.html" TargetMode="External"/><Relationship Id="rId166" Type="http://schemas.openxmlformats.org/officeDocument/2006/relationships/hyperlink" Target="https://weather.gc.ca/city/pages/on-94_metric_e.html" TargetMode="External"/><Relationship Id="rId1" Type="http://schemas.openxmlformats.org/officeDocument/2006/relationships/hyperlink" Target="https://weather.gc.ca/city/pages/on-1_metric_e.html" TargetMode="External"/><Relationship Id="rId6" Type="http://schemas.openxmlformats.org/officeDocument/2006/relationships/hyperlink" Target="https://weather.gc.ca/city/pages/on-148_metric_e.html" TargetMode="External"/><Relationship Id="rId15" Type="http://schemas.openxmlformats.org/officeDocument/2006/relationships/hyperlink" Target="https://weather.gc.ca/city/pages/on-4_metric_e.html" TargetMode="External"/><Relationship Id="rId23" Type="http://schemas.openxmlformats.org/officeDocument/2006/relationships/hyperlink" Target="https://weather.gc.ca/city/pages/on-11_metric_e.html" TargetMode="External"/><Relationship Id="rId28" Type="http://schemas.openxmlformats.org/officeDocument/2006/relationships/hyperlink" Target="https://weather.gc.ca/city/pages/on-83_metric_e.html" TargetMode="External"/><Relationship Id="rId36" Type="http://schemas.openxmlformats.org/officeDocument/2006/relationships/hyperlink" Target="https://weather.gc.ca/city/pages/on-173_metric_e.html" TargetMode="External"/><Relationship Id="rId49" Type="http://schemas.openxmlformats.org/officeDocument/2006/relationships/hyperlink" Target="https://weather.gc.ca/city/pages/on-97_metric_e.html" TargetMode="External"/><Relationship Id="rId57" Type="http://schemas.openxmlformats.org/officeDocument/2006/relationships/hyperlink" Target="https://weather.gc.ca/city/pages/on-73_metric_e.html" TargetMode="External"/><Relationship Id="rId106" Type="http://schemas.openxmlformats.org/officeDocument/2006/relationships/hyperlink" Target="https://weather.gc.ca/city/pages/on-99_metric_e.html" TargetMode="External"/><Relationship Id="rId114" Type="http://schemas.openxmlformats.org/officeDocument/2006/relationships/hyperlink" Target="https://weather.gc.ca/city/pages/on-80_metric_e.html" TargetMode="External"/><Relationship Id="rId119" Type="http://schemas.openxmlformats.org/officeDocument/2006/relationships/hyperlink" Target="https://weather.gc.ca/city/pages/on-104_metric_e.html" TargetMode="External"/><Relationship Id="rId127" Type="http://schemas.openxmlformats.org/officeDocument/2006/relationships/hyperlink" Target="https://weather.gc.ca/city/pages/on-60_metric_e.html" TargetMode="External"/><Relationship Id="rId10" Type="http://schemas.openxmlformats.org/officeDocument/2006/relationships/hyperlink" Target="https://weather.gc.ca/city/pages/on-133_metric_e.html" TargetMode="External"/><Relationship Id="rId31" Type="http://schemas.openxmlformats.org/officeDocument/2006/relationships/hyperlink" Target="https://weather.gc.ca/city/pages/on-35_metric_e.html" TargetMode="External"/><Relationship Id="rId44" Type="http://schemas.openxmlformats.org/officeDocument/2006/relationships/hyperlink" Target="https://weather.gc.ca/city/pages/on-38_metric_e.html" TargetMode="External"/><Relationship Id="rId52" Type="http://schemas.openxmlformats.org/officeDocument/2006/relationships/hyperlink" Target="https://weather.gc.ca/city/pages/on-42_metric_e.html" TargetMode="External"/><Relationship Id="rId60" Type="http://schemas.openxmlformats.org/officeDocument/2006/relationships/hyperlink" Target="https://weather.gc.ca/city/pages/on-156_metric_e.html" TargetMode="External"/><Relationship Id="rId65" Type="http://schemas.openxmlformats.org/officeDocument/2006/relationships/hyperlink" Target="https://weather.gc.ca/city/pages/on-168_metric_e.html" TargetMode="External"/><Relationship Id="rId73" Type="http://schemas.openxmlformats.org/officeDocument/2006/relationships/hyperlink" Target="https://weather.gc.ca/city/pages/on-45_metric_e.html" TargetMode="External"/><Relationship Id="rId78" Type="http://schemas.openxmlformats.org/officeDocument/2006/relationships/hyperlink" Target="https://weather.gc.ca/city/pages/on-137_metric_e.html" TargetMode="External"/><Relationship Id="rId81" Type="http://schemas.openxmlformats.org/officeDocument/2006/relationships/hyperlink" Target="https://weather.gc.ca/city/pages/on-169_metric_e.html" TargetMode="External"/><Relationship Id="rId86" Type="http://schemas.openxmlformats.org/officeDocument/2006/relationships/hyperlink" Target="https://weather.gc.ca/city/pages/on-92_metric_e.html" TargetMode="External"/><Relationship Id="rId94" Type="http://schemas.openxmlformats.org/officeDocument/2006/relationships/hyperlink" Target="https://weather.gc.ca/city/pages/on-139_metric_e.html" TargetMode="External"/><Relationship Id="rId99" Type="http://schemas.openxmlformats.org/officeDocument/2006/relationships/hyperlink" Target="https://weather.gc.ca/city/pages/on-13_metric_e.html" TargetMode="External"/><Relationship Id="rId101" Type="http://schemas.openxmlformats.org/officeDocument/2006/relationships/hyperlink" Target="https://weather.gc.ca/city/pages/on-118_metric_e.html" TargetMode="External"/><Relationship Id="rId122" Type="http://schemas.openxmlformats.org/officeDocument/2006/relationships/hyperlink" Target="https://weather.gc.ca/city/pages/on-172_metric_e.html" TargetMode="External"/><Relationship Id="rId130" Type="http://schemas.openxmlformats.org/officeDocument/2006/relationships/hyperlink" Target="https://weather.gc.ca/city/pages/on-61_metric_e.html" TargetMode="External"/><Relationship Id="rId135" Type="http://schemas.openxmlformats.org/officeDocument/2006/relationships/hyperlink" Target="https://weather.gc.ca/city/pages/on-106_metric_e.html" TargetMode="External"/><Relationship Id="rId143" Type="http://schemas.openxmlformats.org/officeDocument/2006/relationships/hyperlink" Target="https://weather.gc.ca/city/pages/on-63_metric_e.html" TargetMode="External"/><Relationship Id="rId148" Type="http://schemas.openxmlformats.org/officeDocument/2006/relationships/hyperlink" Target="https://weather.gc.ca/city/pages/on-127_metric_e.html" TargetMode="External"/><Relationship Id="rId151" Type="http://schemas.openxmlformats.org/officeDocument/2006/relationships/hyperlink" Target="https://weather.gc.ca/city/pages/on-128_metric_e.html" TargetMode="External"/><Relationship Id="rId156" Type="http://schemas.openxmlformats.org/officeDocument/2006/relationships/hyperlink" Target="https://weather.gc.ca/city/pages/on-16_metric_e.html" TargetMode="External"/><Relationship Id="rId164" Type="http://schemas.openxmlformats.org/officeDocument/2006/relationships/hyperlink" Target="https://weather.gc.ca/city/pages/on-130_metric_e.html" TargetMode="External"/><Relationship Id="rId169" Type="http://schemas.openxmlformats.org/officeDocument/2006/relationships/hyperlink" Target="https://weather.gc.ca/city/pages/on-158_metric_e.html" TargetMode="External"/><Relationship Id="rId4" Type="http://schemas.openxmlformats.org/officeDocument/2006/relationships/hyperlink" Target="https://weather.gc.ca/city/pages/on-30_metric_e.html" TargetMode="External"/><Relationship Id="rId9" Type="http://schemas.openxmlformats.org/officeDocument/2006/relationships/hyperlink" Target="https://weather.gc.ca/city/pages/on-151_metric_e.html" TargetMode="External"/><Relationship Id="rId13" Type="http://schemas.openxmlformats.org/officeDocument/2006/relationships/hyperlink" Target="https://weather.gc.ca/city/pages/on-21_metric_e.html" TargetMode="External"/><Relationship Id="rId18" Type="http://schemas.openxmlformats.org/officeDocument/2006/relationships/hyperlink" Target="https://weather.gc.ca/city/pages/on-31_metric_e.html" TargetMode="External"/><Relationship Id="rId39" Type="http://schemas.openxmlformats.org/officeDocument/2006/relationships/hyperlink" Target="https://weather.gc.ca/city/pages/on-171_metric_e.html" TargetMode="External"/><Relationship Id="rId109" Type="http://schemas.openxmlformats.org/officeDocument/2006/relationships/hyperlink" Target="https://weather.gc.ca/city/pages/on-121_metric_e.html" TargetMode="External"/><Relationship Id="rId34" Type="http://schemas.openxmlformats.org/officeDocument/2006/relationships/hyperlink" Target="https://weather.gc.ca/city/pages/on-136_metric_e.html" TargetMode="External"/><Relationship Id="rId50" Type="http://schemas.openxmlformats.org/officeDocument/2006/relationships/hyperlink" Target="https://weather.gc.ca/city/pages/on-5_metric_e.html" TargetMode="External"/><Relationship Id="rId55" Type="http://schemas.openxmlformats.org/officeDocument/2006/relationships/hyperlink" Target="https://weather.gc.ca/city/pages/on-77_metric_e.html" TargetMode="External"/><Relationship Id="rId76" Type="http://schemas.openxmlformats.org/officeDocument/2006/relationships/hyperlink" Target="https://weather.gc.ca/city/pages/on-23_metric_e.html" TargetMode="External"/><Relationship Id="rId97" Type="http://schemas.openxmlformats.org/officeDocument/2006/relationships/hyperlink" Target="https://weather.gc.ca/city/pages/on-101_metric_e.html" TargetMode="External"/><Relationship Id="rId104" Type="http://schemas.openxmlformats.org/officeDocument/2006/relationships/hyperlink" Target="https://weather.gc.ca/city/pages/on-53_metric_e.html" TargetMode="External"/><Relationship Id="rId120" Type="http://schemas.openxmlformats.org/officeDocument/2006/relationships/hyperlink" Target="https://weather.gc.ca/city/pages/on-58_metric_e.html" TargetMode="External"/><Relationship Id="rId125" Type="http://schemas.openxmlformats.org/officeDocument/2006/relationships/hyperlink" Target="https://weather.gc.ca/city/pages/on-129_metric_e.html" TargetMode="External"/><Relationship Id="rId141" Type="http://schemas.openxmlformats.org/officeDocument/2006/relationships/hyperlink" Target="https://weather.gc.ca/city/pages/on-18_metric_e.html" TargetMode="External"/><Relationship Id="rId146" Type="http://schemas.openxmlformats.org/officeDocument/2006/relationships/hyperlink" Target="https://weather.gc.ca/city/pages/on-100_metric_e.html" TargetMode="External"/><Relationship Id="rId167" Type="http://schemas.openxmlformats.org/officeDocument/2006/relationships/hyperlink" Target="https://weather.gc.ca/city/pages/on-110_metric_e.html" TargetMode="External"/><Relationship Id="rId7" Type="http://schemas.openxmlformats.org/officeDocument/2006/relationships/hyperlink" Target="https://weather.gc.ca/city/pages/on-164_metric_e.html" TargetMode="External"/><Relationship Id="rId71" Type="http://schemas.openxmlformats.org/officeDocument/2006/relationships/hyperlink" Target="https://weather.gc.ca/city/pages/on-76_metric_e.html" TargetMode="External"/><Relationship Id="rId92" Type="http://schemas.openxmlformats.org/officeDocument/2006/relationships/hyperlink" Target="https://weather.gc.ca/city/pages/on-26_metric_e.html" TargetMode="External"/><Relationship Id="rId162" Type="http://schemas.openxmlformats.org/officeDocument/2006/relationships/hyperlink" Target="https://weather.gc.ca/city/pages/on-119_metric_e.html" TargetMode="External"/><Relationship Id="rId2" Type="http://schemas.openxmlformats.org/officeDocument/2006/relationships/hyperlink" Target="https://weather.gc.ca/city/pages/on-29_metric_e.html" TargetMode="External"/><Relationship Id="rId29" Type="http://schemas.openxmlformats.org/officeDocument/2006/relationships/hyperlink" Target="https://weather.gc.ca/city/pages/on-34_metric_e.html" TargetMode="External"/><Relationship Id="rId24" Type="http://schemas.openxmlformats.org/officeDocument/2006/relationships/hyperlink" Target="https://weather.gc.ca/city/pages/on-75_metric_e.html" TargetMode="External"/><Relationship Id="rId40" Type="http://schemas.openxmlformats.org/officeDocument/2006/relationships/hyperlink" Target="https://weather.gc.ca/city/pages/on-90_metric_e.html" TargetMode="External"/><Relationship Id="rId45" Type="http://schemas.openxmlformats.org/officeDocument/2006/relationships/hyperlink" Target="https://weather.gc.ca/city/pages/on-39_metric_e.html" TargetMode="External"/><Relationship Id="rId66" Type="http://schemas.openxmlformats.org/officeDocument/2006/relationships/hyperlink" Target="https://weather.gc.ca/city/pages/on-74_metric_e.html" TargetMode="External"/><Relationship Id="rId87" Type="http://schemas.openxmlformats.org/officeDocument/2006/relationships/hyperlink" Target="https://weather.gc.ca/city/pages/on-89_metric_e.html" TargetMode="External"/><Relationship Id="rId110" Type="http://schemas.openxmlformats.org/officeDocument/2006/relationships/hyperlink" Target="https://weather.gc.ca/city/pages/on-54_metric_e.html" TargetMode="External"/><Relationship Id="rId115" Type="http://schemas.openxmlformats.org/officeDocument/2006/relationships/hyperlink" Target="https://weather.gc.ca/city/pages/on-19_metric_e.html" TargetMode="External"/><Relationship Id="rId131" Type="http://schemas.openxmlformats.org/officeDocument/2006/relationships/hyperlink" Target="https://weather.gc.ca/city/pages/on-84_metric_e.html" TargetMode="External"/><Relationship Id="rId136" Type="http://schemas.openxmlformats.org/officeDocument/2006/relationships/hyperlink" Target="https://weather.gc.ca/city/pages/on-62_metric_e.html" TargetMode="External"/><Relationship Id="rId157" Type="http://schemas.openxmlformats.org/officeDocument/2006/relationships/hyperlink" Target="https://weather.gc.ca/city/pages/on-138_metric_e.html" TargetMode="External"/><Relationship Id="rId61" Type="http://schemas.openxmlformats.org/officeDocument/2006/relationships/hyperlink" Target="https://weather.gc.ca/city/pages/on-145_metric_e.html" TargetMode="External"/><Relationship Id="rId82" Type="http://schemas.openxmlformats.org/officeDocument/2006/relationships/hyperlink" Target="https://weather.gc.ca/city/pages/on-48_metric_e.html" TargetMode="External"/><Relationship Id="rId152" Type="http://schemas.openxmlformats.org/officeDocument/2006/relationships/hyperlink" Target="https://weather.gc.ca/city/pages/on-126_metric_e.html" TargetMode="External"/><Relationship Id="rId19" Type="http://schemas.openxmlformats.org/officeDocument/2006/relationships/hyperlink" Target="https://weather.gc.ca/city/pages/on-95_metric_e.html" TargetMode="External"/><Relationship Id="rId14" Type="http://schemas.openxmlformats.org/officeDocument/2006/relationships/hyperlink" Target="https://weather.gc.ca/city/pages/on-9_metric_e.html" TargetMode="External"/><Relationship Id="rId30" Type="http://schemas.openxmlformats.org/officeDocument/2006/relationships/hyperlink" Target="https://weather.gc.ca/city/pages/on-72_metric_e.html" TargetMode="External"/><Relationship Id="rId35" Type="http://schemas.openxmlformats.org/officeDocument/2006/relationships/hyperlink" Target="https://weather.gc.ca/city/pages/on-170_metric_e.html" TargetMode="External"/><Relationship Id="rId56" Type="http://schemas.openxmlformats.org/officeDocument/2006/relationships/hyperlink" Target="https://weather.gc.ca/city/pages/on-71_metric_e.html" TargetMode="External"/><Relationship Id="rId77" Type="http://schemas.openxmlformats.org/officeDocument/2006/relationships/hyperlink" Target="https://weather.gc.ca/city/pages/on-47_metric_e.html" TargetMode="External"/><Relationship Id="rId100" Type="http://schemas.openxmlformats.org/officeDocument/2006/relationships/hyperlink" Target="https://weather.gc.ca/city/pages/on-117_metric_e.html" TargetMode="External"/><Relationship Id="rId105" Type="http://schemas.openxmlformats.org/officeDocument/2006/relationships/hyperlink" Target="https://weather.gc.ca/city/pages/on-103_metric_e.html" TargetMode="External"/><Relationship Id="rId126" Type="http://schemas.openxmlformats.org/officeDocument/2006/relationships/hyperlink" Target="https://weather.gc.ca/city/pages/on-147_metric_e.html" TargetMode="External"/><Relationship Id="rId147" Type="http://schemas.openxmlformats.org/officeDocument/2006/relationships/hyperlink" Target="https://weather.gc.ca/city/pages/on-17_metric_e.html" TargetMode="External"/><Relationship Id="rId168" Type="http://schemas.openxmlformats.org/officeDocument/2006/relationships/hyperlink" Target="https://weather.gc.ca/city/pages/on-15_metric_e.html" TargetMode="External"/><Relationship Id="rId8" Type="http://schemas.openxmlformats.org/officeDocument/2006/relationships/hyperlink" Target="https://weather.gc.ca/city/pages/on-102_metric_e.html" TargetMode="External"/><Relationship Id="rId51" Type="http://schemas.openxmlformats.org/officeDocument/2006/relationships/hyperlink" Target="https://weather.gc.ca/city/pages/on-41_metric_e.html" TargetMode="External"/><Relationship Id="rId72" Type="http://schemas.openxmlformats.org/officeDocument/2006/relationships/hyperlink" Target="https://weather.gc.ca/city/pages/on-82_metric_e.html" TargetMode="External"/><Relationship Id="rId93" Type="http://schemas.openxmlformats.org/officeDocument/2006/relationships/hyperlink" Target="https://weather.gc.ca/city/pages/on-50_metric_e.html" TargetMode="External"/><Relationship Id="rId98" Type="http://schemas.openxmlformats.org/officeDocument/2006/relationships/hyperlink" Target="https://weather.gc.ca/city/pages/on-140_metric_e.html" TargetMode="External"/><Relationship Id="rId121" Type="http://schemas.openxmlformats.org/officeDocument/2006/relationships/hyperlink" Target="https://weather.gc.ca/city/pages/on-59_metric_e.html" TargetMode="External"/><Relationship Id="rId142" Type="http://schemas.openxmlformats.org/officeDocument/2006/relationships/hyperlink" Target="https://weather.gc.ca/city/pages/on-174_metric_e.html" TargetMode="External"/><Relationship Id="rId163" Type="http://schemas.openxmlformats.org/officeDocument/2006/relationships/hyperlink" Target="https://weather.gc.ca/city/pages/on-67_metric_e.html" TargetMode="External"/><Relationship Id="rId3" Type="http://schemas.openxmlformats.org/officeDocument/2006/relationships/hyperlink" Target="https://weather.gc.ca/city/pages/on-114_metric_e.html" TargetMode="External"/><Relationship Id="rId25" Type="http://schemas.openxmlformats.org/officeDocument/2006/relationships/hyperlink" Target="https://weather.gc.ca/city/pages/on-33_metric_e.html" TargetMode="External"/><Relationship Id="rId46" Type="http://schemas.openxmlformats.org/officeDocument/2006/relationships/hyperlink" Target="https://weather.gc.ca/city/pages/on-40_metric_e.html" TargetMode="External"/><Relationship Id="rId67" Type="http://schemas.openxmlformats.org/officeDocument/2006/relationships/hyperlink" Target="https://weather.gc.ca/city/pages/on-96_metric_e.html" TargetMode="External"/><Relationship Id="rId116" Type="http://schemas.openxmlformats.org/officeDocument/2006/relationships/hyperlink" Target="https://weather.gc.ca/city/pages/on-149_metric_e.html" TargetMode="External"/><Relationship Id="rId137" Type="http://schemas.openxmlformats.org/officeDocument/2006/relationships/hyperlink" Target="https://weather.gc.ca/city/pages/on-107_metric_e.html" TargetMode="External"/><Relationship Id="rId158" Type="http://schemas.openxmlformats.org/officeDocument/2006/relationships/hyperlink" Target="https://weather.gc.ca/city/pages/on-132_metric_e.html" TargetMode="External"/><Relationship Id="rId20" Type="http://schemas.openxmlformats.org/officeDocument/2006/relationships/hyperlink" Target="https://weather.gc.ca/city/pages/on-32_metric_e.html" TargetMode="External"/><Relationship Id="rId41" Type="http://schemas.openxmlformats.org/officeDocument/2006/relationships/hyperlink" Target="https://weather.gc.ca/city/pages/on-160_metric_e.html" TargetMode="External"/><Relationship Id="rId62" Type="http://schemas.openxmlformats.org/officeDocument/2006/relationships/hyperlink" Target="https://weather.gc.ca/city/pages/on-43_metric_e.html" TargetMode="External"/><Relationship Id="rId83" Type="http://schemas.openxmlformats.org/officeDocument/2006/relationships/hyperlink" Target="https://weather.gc.ca/city/pages/on-24_metric_e.html" TargetMode="External"/><Relationship Id="rId88" Type="http://schemas.openxmlformats.org/officeDocument/2006/relationships/hyperlink" Target="https://weather.gc.ca/city/pages/on-93_metric_e.html" TargetMode="External"/><Relationship Id="rId111" Type="http://schemas.openxmlformats.org/officeDocument/2006/relationships/hyperlink" Target="https://weather.gc.ca/city/pages/on-120_metric_e.html" TargetMode="External"/><Relationship Id="rId132" Type="http://schemas.openxmlformats.org/officeDocument/2006/relationships/hyperlink" Target="https://weather.gc.ca/city/pages/on-161_metric_e.html" TargetMode="External"/><Relationship Id="rId153" Type="http://schemas.openxmlformats.org/officeDocument/2006/relationships/hyperlink" Target="https://weather.gc.ca/city/pages/on-154_metric_e.html" TargetMode="External"/></Relationships>
</file>

<file path=xl/worksheets/_rels/sheet8.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065A90-035B-461B-8508-5813EF1C731D}">
  <dimension ref="A1:J53"/>
  <sheetViews>
    <sheetView showWhiteSpace="0" view="pageBreakPreview" topLeftCell="A7" zoomScale="115" zoomScaleNormal="115" zoomScaleSheetLayoutView="115" zoomScalePageLayoutView="115" workbookViewId="0">
      <selection activeCell="F24" sqref="F24"/>
    </sheetView>
  </sheetViews>
  <sheetFormatPr defaultColWidth="8.85546875" defaultRowHeight="15" x14ac:dyDescent="0.25"/>
  <cols>
    <col min="1" max="3" width="8.85546875" style="16"/>
    <col min="4" max="4" width="11.28515625" style="16" customWidth="1"/>
    <col min="5" max="6" width="8.85546875" style="16"/>
    <col min="7" max="7" width="7.140625" style="16" customWidth="1"/>
    <col min="8" max="8" width="8.85546875" style="16"/>
    <col min="9" max="9" width="8.85546875" style="16" customWidth="1"/>
    <col min="10" max="16384" width="8.85546875" style="16"/>
  </cols>
  <sheetData>
    <row r="1" spans="1:10" ht="26.45" customHeight="1" x14ac:dyDescent="0.25">
      <c r="A1" s="189" t="s">
        <v>0</v>
      </c>
      <c r="B1" s="189"/>
      <c r="C1" s="189"/>
      <c r="D1" s="189"/>
      <c r="E1" s="189"/>
      <c r="F1" s="189"/>
      <c r="G1" s="189"/>
      <c r="H1" s="189"/>
      <c r="I1" s="189"/>
      <c r="J1" s="189"/>
    </row>
    <row r="2" spans="1:10" x14ac:dyDescent="0.25">
      <c r="A2" s="17" t="s">
        <v>1</v>
      </c>
      <c r="B2" s="1"/>
      <c r="C2" s="1"/>
      <c r="D2" s="1"/>
      <c r="E2" s="1"/>
      <c r="F2" s="1"/>
      <c r="G2" s="1"/>
      <c r="H2" s="1"/>
      <c r="I2" s="1"/>
      <c r="J2" s="1"/>
    </row>
    <row r="3" spans="1:10" x14ac:dyDescent="0.25">
      <c r="A3" s="23" t="s">
        <v>2</v>
      </c>
      <c r="C3" s="191"/>
      <c r="D3" s="191"/>
      <c r="F3" s="23" t="s">
        <v>3</v>
      </c>
      <c r="H3" s="190"/>
      <c r="I3" s="190"/>
      <c r="J3" s="190"/>
    </row>
    <row r="4" spans="1:10" x14ac:dyDescent="0.25">
      <c r="A4" s="23" t="s">
        <v>4</v>
      </c>
      <c r="C4" s="191"/>
      <c r="D4" s="191"/>
      <c r="E4" s="191"/>
      <c r="F4" s="191"/>
      <c r="G4" s="191"/>
      <c r="H4" s="191"/>
      <c r="I4" s="191"/>
      <c r="J4" s="191"/>
    </row>
    <row r="5" spans="1:10" x14ac:dyDescent="0.25">
      <c r="A5" s="23" t="s">
        <v>5</v>
      </c>
      <c r="C5" s="192"/>
      <c r="D5" s="178"/>
      <c r="E5" s="178"/>
      <c r="F5" s="178"/>
      <c r="G5" s="178"/>
      <c r="H5" s="178"/>
      <c r="I5" s="178"/>
      <c r="J5" s="178"/>
    </row>
    <row r="6" spans="1:10" x14ac:dyDescent="0.25">
      <c r="A6" s="23" t="s">
        <v>6</v>
      </c>
      <c r="C6" s="178"/>
      <c r="D6" s="178"/>
      <c r="E6" s="178"/>
      <c r="F6" s="24" t="s">
        <v>7</v>
      </c>
      <c r="G6" s="1"/>
      <c r="H6" s="178"/>
      <c r="I6" s="178"/>
      <c r="J6" s="178"/>
    </row>
    <row r="8" spans="1:10" x14ac:dyDescent="0.25">
      <c r="A8" s="18" t="s">
        <v>8</v>
      </c>
    </row>
    <row r="9" spans="1:10" x14ac:dyDescent="0.25">
      <c r="A9" s="18"/>
      <c r="C9" s="173" t="s">
        <v>327</v>
      </c>
      <c r="D9" s="173"/>
      <c r="E9" s="1" t="s">
        <v>328</v>
      </c>
      <c r="F9" s="173" t="s">
        <v>329</v>
      </c>
      <c r="G9" s="173"/>
      <c r="H9" s="173"/>
    </row>
    <row r="10" spans="1:10" x14ac:dyDescent="0.25">
      <c r="C10" s="174" t="s">
        <v>321</v>
      </c>
      <c r="D10" s="175"/>
      <c r="E10" s="23"/>
      <c r="F10" s="176" t="s">
        <v>322</v>
      </c>
      <c r="G10" s="176"/>
      <c r="H10" s="176"/>
    </row>
    <row r="11" spans="1:10" x14ac:dyDescent="0.25">
      <c r="A11" s="23" t="s">
        <v>323</v>
      </c>
      <c r="C11" s="170"/>
      <c r="D11" s="171"/>
      <c r="E11" s="1"/>
      <c r="F11" s="172"/>
      <c r="G11" s="172"/>
      <c r="H11" s="172"/>
    </row>
    <row r="12" spans="1:10" x14ac:dyDescent="0.25">
      <c r="A12" s="23" t="s">
        <v>324</v>
      </c>
      <c r="C12" s="170"/>
      <c r="D12" s="171"/>
      <c r="F12" s="172"/>
      <c r="G12" s="172"/>
      <c r="H12" s="172"/>
    </row>
    <row r="13" spans="1:10" x14ac:dyDescent="0.25">
      <c r="A13" s="23" t="s">
        <v>325</v>
      </c>
      <c r="C13" s="170"/>
      <c r="D13" s="171"/>
      <c r="F13" s="172"/>
      <c r="G13" s="172"/>
      <c r="H13" s="172"/>
    </row>
    <row r="14" spans="1:10" x14ac:dyDescent="0.25">
      <c r="A14" s="23" t="s">
        <v>326</v>
      </c>
      <c r="C14" s="170"/>
      <c r="D14" s="171"/>
    </row>
    <row r="15" spans="1:10" x14ac:dyDescent="0.25">
      <c r="A15" s="18"/>
    </row>
    <row r="16" spans="1:10" x14ac:dyDescent="0.25">
      <c r="C16" s="39" t="s">
        <v>9</v>
      </c>
      <c r="D16" s="39"/>
      <c r="E16" s="23"/>
    </row>
    <row r="17" spans="1:10" x14ac:dyDescent="0.25">
      <c r="A17" s="23" t="s">
        <v>10</v>
      </c>
      <c r="C17" s="170"/>
      <c r="D17" s="171"/>
      <c r="F17" s="23" t="s">
        <v>11</v>
      </c>
      <c r="H17" s="178"/>
      <c r="I17" s="178"/>
      <c r="J17" s="178"/>
    </row>
    <row r="18" spans="1:10" x14ac:dyDescent="0.25">
      <c r="A18" s="23" t="s">
        <v>12</v>
      </c>
      <c r="C18" s="170"/>
      <c r="D18" s="171"/>
      <c r="F18" s="23" t="s">
        <v>13</v>
      </c>
      <c r="H18" s="178"/>
      <c r="I18" s="178"/>
      <c r="J18" s="178"/>
    </row>
    <row r="19" spans="1:10" x14ac:dyDescent="0.25">
      <c r="A19" s="23" t="s">
        <v>14</v>
      </c>
      <c r="C19" s="170"/>
      <c r="D19" s="171"/>
      <c r="F19" s="23" t="s">
        <v>15</v>
      </c>
      <c r="H19" s="178"/>
      <c r="I19" s="178"/>
      <c r="J19" s="178"/>
    </row>
    <row r="21" spans="1:10" x14ac:dyDescent="0.25">
      <c r="A21" s="18" t="s">
        <v>16</v>
      </c>
    </row>
    <row r="22" spans="1:10" x14ac:dyDescent="0.25">
      <c r="C22" s="38" t="s">
        <v>17</v>
      </c>
      <c r="D22" s="38" t="s">
        <v>18</v>
      </c>
      <c r="E22" s="38" t="s">
        <v>19</v>
      </c>
      <c r="H22" s="38" t="s">
        <v>17</v>
      </c>
      <c r="I22" s="38" t="s">
        <v>18</v>
      </c>
      <c r="J22" s="38" t="s">
        <v>19</v>
      </c>
    </row>
    <row r="23" spans="1:10" x14ac:dyDescent="0.25">
      <c r="A23" s="27" t="s">
        <v>20</v>
      </c>
      <c r="B23"/>
      <c r="C23" s="73"/>
      <c r="D23" s="73"/>
      <c r="E23" s="73"/>
      <c r="F23" s="27" t="s">
        <v>21</v>
      </c>
      <c r="G23"/>
      <c r="H23" s="73"/>
      <c r="I23" s="73"/>
      <c r="J23" s="73"/>
    </row>
    <row r="24" spans="1:10" x14ac:dyDescent="0.25">
      <c r="A24" s="27" t="s">
        <v>330</v>
      </c>
      <c r="B24"/>
      <c r="C24" s="73"/>
      <c r="D24" s="73"/>
      <c r="E24" s="73"/>
      <c r="F24" s="27" t="s">
        <v>330</v>
      </c>
      <c r="G24"/>
      <c r="H24" s="73"/>
      <c r="I24" s="73"/>
      <c r="J24" s="73"/>
    </row>
    <row r="25" spans="1:10" x14ac:dyDescent="0.25">
      <c r="A25" s="27" t="s">
        <v>22</v>
      </c>
      <c r="B25"/>
      <c r="C25" s="73"/>
      <c r="D25" s="73"/>
      <c r="E25" s="73"/>
      <c r="F25" s="27" t="s">
        <v>23</v>
      </c>
      <c r="G25"/>
      <c r="H25" s="73"/>
      <c r="I25" s="73"/>
      <c r="J25" s="73"/>
    </row>
    <row r="26" spans="1:10" x14ac:dyDescent="0.25">
      <c r="A26" s="27" t="s">
        <v>24</v>
      </c>
      <c r="B26"/>
      <c r="C26" s="188"/>
      <c r="D26" s="188"/>
      <c r="E26" s="188"/>
      <c r="F26" s="188"/>
      <c r="G26" s="188"/>
      <c r="H26" s="188"/>
      <c r="I26" s="188"/>
      <c r="J26" s="188"/>
    </row>
    <row r="27" spans="1:10" x14ac:dyDescent="0.25">
      <c r="A27" s="27" t="s">
        <v>25</v>
      </c>
      <c r="B27"/>
      <c r="C27" s="177"/>
      <c r="D27" s="177"/>
      <c r="E27" s="177"/>
      <c r="F27" s="177"/>
      <c r="G27" s="177"/>
      <c r="H27" s="177"/>
      <c r="I27" s="177"/>
      <c r="J27" s="177"/>
    </row>
    <row r="28" spans="1:10" x14ac:dyDescent="0.25">
      <c r="A28"/>
      <c r="B28"/>
      <c r="C28" s="3"/>
      <c r="D28" s="3"/>
      <c r="E28" s="3"/>
      <c r="F28" s="3"/>
      <c r="G28" s="3"/>
      <c r="H28" s="3"/>
      <c r="I28" s="3"/>
      <c r="J28" s="3"/>
    </row>
    <row r="29" spans="1:10" x14ac:dyDescent="0.25">
      <c r="A29" s="18" t="s">
        <v>26</v>
      </c>
    </row>
    <row r="31" spans="1:10" x14ac:dyDescent="0.25">
      <c r="A31" s="23" t="s">
        <v>27</v>
      </c>
      <c r="C31" s="173"/>
      <c r="D31" s="173"/>
      <c r="E31" s="173"/>
      <c r="F31" s="173"/>
      <c r="G31" s="173"/>
      <c r="H31" s="173"/>
      <c r="I31" s="173"/>
      <c r="J31" s="173"/>
    </row>
    <row r="32" spans="1:10" x14ac:dyDescent="0.25">
      <c r="A32" s="23" t="s">
        <v>331</v>
      </c>
      <c r="C32" s="173"/>
      <c r="D32" s="173"/>
      <c r="E32" s="173"/>
      <c r="F32" s="173"/>
      <c r="G32" s="173"/>
      <c r="H32" s="173"/>
      <c r="I32" s="173"/>
      <c r="J32" s="173"/>
    </row>
    <row r="33" spans="1:10" x14ac:dyDescent="0.25">
      <c r="A33" s="23" t="s">
        <v>28</v>
      </c>
      <c r="C33" s="173"/>
      <c r="D33" s="173"/>
      <c r="E33" s="173"/>
      <c r="F33" s="173"/>
      <c r="G33" s="173"/>
      <c r="H33" s="173"/>
      <c r="I33" s="173"/>
      <c r="J33" s="173"/>
    </row>
    <row r="34" spans="1:10" x14ac:dyDescent="0.25">
      <c r="A34" s="23" t="s">
        <v>29</v>
      </c>
      <c r="C34" s="173"/>
      <c r="D34" s="173"/>
      <c r="E34" s="173"/>
      <c r="F34" s="173"/>
      <c r="G34" s="173"/>
      <c r="H34" s="173"/>
      <c r="I34" s="173"/>
      <c r="J34" s="173"/>
    </row>
    <row r="35" spans="1:10" x14ac:dyDescent="0.25">
      <c r="A35" s="23" t="s">
        <v>30</v>
      </c>
      <c r="C35" s="173"/>
      <c r="D35" s="173"/>
      <c r="E35" s="173"/>
      <c r="F35" s="173"/>
      <c r="G35" s="173"/>
      <c r="H35" s="173"/>
      <c r="I35" s="173"/>
      <c r="J35" s="173"/>
    </row>
    <row r="37" spans="1:10" x14ac:dyDescent="0.25">
      <c r="A37" s="18" t="s">
        <v>31</v>
      </c>
    </row>
    <row r="38" spans="1:10" x14ac:dyDescent="0.25">
      <c r="A38" s="19"/>
      <c r="B38" s="19"/>
      <c r="C38" s="19"/>
      <c r="D38" s="19"/>
      <c r="E38" s="19"/>
      <c r="F38" s="19"/>
      <c r="G38" s="19"/>
      <c r="H38" s="19"/>
      <c r="I38" s="19"/>
      <c r="J38" s="19"/>
    </row>
    <row r="39" spans="1:10" x14ac:dyDescent="0.25">
      <c r="A39" s="25" t="s">
        <v>333</v>
      </c>
      <c r="B39" s="19"/>
      <c r="C39" s="19"/>
      <c r="D39" s="19"/>
      <c r="E39" s="193"/>
      <c r="F39" s="193"/>
      <c r="G39" s="193"/>
      <c r="H39" s="193"/>
      <c r="I39" s="193"/>
      <c r="J39" s="193"/>
    </row>
    <row r="40" spans="1:10" x14ac:dyDescent="0.25">
      <c r="A40" s="25" t="s">
        <v>332</v>
      </c>
      <c r="B40" s="19"/>
      <c r="C40" s="19"/>
      <c r="D40" s="19"/>
      <c r="E40" s="194"/>
      <c r="F40" s="194"/>
      <c r="G40" s="194"/>
      <c r="H40" s="194"/>
      <c r="I40" s="194"/>
      <c r="J40" s="194"/>
    </row>
    <row r="41" spans="1:10" x14ac:dyDescent="0.25">
      <c r="A41" s="19"/>
      <c r="B41" s="19"/>
      <c r="C41" s="19"/>
      <c r="D41" s="19"/>
      <c r="E41" s="19"/>
      <c r="F41" s="19"/>
      <c r="G41" s="19"/>
      <c r="H41" s="19"/>
      <c r="I41" s="19"/>
      <c r="J41" s="19"/>
    </row>
    <row r="42" spans="1:10" ht="15.75" thickBot="1" x14ac:dyDescent="0.3">
      <c r="A42" s="20" t="s">
        <v>32</v>
      </c>
      <c r="B42" s="19"/>
      <c r="C42" s="19"/>
      <c r="D42" s="19"/>
      <c r="E42" s="19"/>
      <c r="F42" s="19"/>
      <c r="G42" s="19"/>
      <c r="H42" s="19"/>
      <c r="I42" s="19"/>
      <c r="J42" s="19"/>
    </row>
    <row r="43" spans="1:10" x14ac:dyDescent="0.25">
      <c r="A43" s="179"/>
      <c r="B43" s="180"/>
      <c r="C43" s="180"/>
      <c r="D43" s="180"/>
      <c r="E43" s="180"/>
      <c r="F43" s="180"/>
      <c r="G43" s="180"/>
      <c r="H43" s="180"/>
      <c r="I43" s="180"/>
      <c r="J43" s="181"/>
    </row>
    <row r="44" spans="1:10" x14ac:dyDescent="0.25">
      <c r="A44" s="182"/>
      <c r="B44" s="183"/>
      <c r="C44" s="183"/>
      <c r="D44" s="183"/>
      <c r="E44" s="183"/>
      <c r="F44" s="183"/>
      <c r="G44" s="183"/>
      <c r="H44" s="183"/>
      <c r="I44" s="183"/>
      <c r="J44" s="184"/>
    </row>
    <row r="45" spans="1:10" x14ac:dyDescent="0.25">
      <c r="A45" s="182"/>
      <c r="B45" s="183"/>
      <c r="C45" s="183"/>
      <c r="D45" s="183"/>
      <c r="E45" s="183"/>
      <c r="F45" s="183"/>
      <c r="G45" s="183"/>
      <c r="H45" s="183"/>
      <c r="I45" s="183"/>
      <c r="J45" s="184"/>
    </row>
    <row r="46" spans="1:10" x14ac:dyDescent="0.25">
      <c r="A46" s="182"/>
      <c r="B46" s="183"/>
      <c r="C46" s="183"/>
      <c r="D46" s="183"/>
      <c r="E46" s="183"/>
      <c r="F46" s="183"/>
      <c r="G46" s="183"/>
      <c r="H46" s="183"/>
      <c r="I46" s="183"/>
      <c r="J46" s="184"/>
    </row>
    <row r="47" spans="1:10" x14ac:dyDescent="0.25">
      <c r="A47" s="182"/>
      <c r="B47" s="183"/>
      <c r="C47" s="183"/>
      <c r="D47" s="183"/>
      <c r="E47" s="183"/>
      <c r="F47" s="183"/>
      <c r="G47" s="183"/>
      <c r="H47" s="183"/>
      <c r="I47" s="183"/>
      <c r="J47" s="184"/>
    </row>
    <row r="48" spans="1:10" x14ac:dyDescent="0.25">
      <c r="A48" s="182"/>
      <c r="B48" s="183"/>
      <c r="C48" s="183"/>
      <c r="D48" s="183"/>
      <c r="E48" s="183"/>
      <c r="F48" s="183"/>
      <c r="G48" s="183"/>
      <c r="H48" s="183"/>
      <c r="I48" s="183"/>
      <c r="J48" s="184"/>
    </row>
    <row r="49" spans="1:10" x14ac:dyDescent="0.25">
      <c r="A49" s="182"/>
      <c r="B49" s="183"/>
      <c r="C49" s="183"/>
      <c r="D49" s="183"/>
      <c r="E49" s="183"/>
      <c r="F49" s="183"/>
      <c r="G49" s="183"/>
      <c r="H49" s="183"/>
      <c r="I49" s="183"/>
      <c r="J49" s="184"/>
    </row>
    <row r="50" spans="1:10" x14ac:dyDescent="0.25">
      <c r="A50" s="182"/>
      <c r="B50" s="183"/>
      <c r="C50" s="183"/>
      <c r="D50" s="183"/>
      <c r="E50" s="183"/>
      <c r="F50" s="183"/>
      <c r="G50" s="183"/>
      <c r="H50" s="183"/>
      <c r="I50" s="183"/>
      <c r="J50" s="184"/>
    </row>
    <row r="51" spans="1:10" x14ac:dyDescent="0.25">
      <c r="A51" s="182"/>
      <c r="B51" s="183"/>
      <c r="C51" s="183"/>
      <c r="D51" s="183"/>
      <c r="E51" s="183"/>
      <c r="F51" s="183"/>
      <c r="G51" s="183"/>
      <c r="H51" s="183"/>
      <c r="I51" s="183"/>
      <c r="J51" s="184"/>
    </row>
    <row r="52" spans="1:10" x14ac:dyDescent="0.25">
      <c r="A52" s="182"/>
      <c r="B52" s="183"/>
      <c r="C52" s="183"/>
      <c r="D52" s="183"/>
      <c r="E52" s="183"/>
      <c r="F52" s="183"/>
      <c r="G52" s="183"/>
      <c r="H52" s="183"/>
      <c r="I52" s="183"/>
      <c r="J52" s="184"/>
    </row>
    <row r="53" spans="1:10" ht="15.75" thickBot="1" x14ac:dyDescent="0.3">
      <c r="A53" s="185"/>
      <c r="B53" s="186"/>
      <c r="C53" s="186"/>
      <c r="D53" s="186"/>
      <c r="E53" s="186"/>
      <c r="F53" s="186"/>
      <c r="G53" s="186"/>
      <c r="H53" s="186"/>
      <c r="I53" s="186"/>
      <c r="J53" s="187"/>
    </row>
  </sheetData>
  <mergeCells count="34">
    <mergeCell ref="A43:J53"/>
    <mergeCell ref="C26:J26"/>
    <mergeCell ref="C31:J31"/>
    <mergeCell ref="A1:J1"/>
    <mergeCell ref="H3:J3"/>
    <mergeCell ref="H17:J17"/>
    <mergeCell ref="C6:E6"/>
    <mergeCell ref="C4:J4"/>
    <mergeCell ref="C3:D3"/>
    <mergeCell ref="C5:J5"/>
    <mergeCell ref="E39:J39"/>
    <mergeCell ref="E40:J40"/>
    <mergeCell ref="C17:D17"/>
    <mergeCell ref="C18:D18"/>
    <mergeCell ref="C19:D19"/>
    <mergeCell ref="H6:J6"/>
    <mergeCell ref="C35:J35"/>
    <mergeCell ref="C27:J27"/>
    <mergeCell ref="H18:J18"/>
    <mergeCell ref="H19:J19"/>
    <mergeCell ref="C32:J32"/>
    <mergeCell ref="C33:J33"/>
    <mergeCell ref="C34:J34"/>
    <mergeCell ref="C14:D14"/>
    <mergeCell ref="F11:H11"/>
    <mergeCell ref="F12:H12"/>
    <mergeCell ref="F13:H13"/>
    <mergeCell ref="C9:D9"/>
    <mergeCell ref="F9:H9"/>
    <mergeCell ref="C11:D11"/>
    <mergeCell ref="C12:D12"/>
    <mergeCell ref="C13:D13"/>
    <mergeCell ref="C10:D10"/>
    <mergeCell ref="F10:H10"/>
  </mergeCells>
  <pageMargins left="0.7" right="0.7" top="0.75" bottom="0.75" header="0.3" footer="0.3"/>
  <pageSetup scale="87" orientation="portrait" r:id="rId1"/>
  <headerFooter>
    <oddHeader>&amp;Z&amp;F</oddHead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E27D27-7D22-4C66-A7BC-CA2CC6DFCA03}">
  <dimension ref="A1:Q12"/>
  <sheetViews>
    <sheetView zoomScaleNormal="100" workbookViewId="0">
      <selection activeCell="P5" sqref="P5"/>
    </sheetView>
  </sheetViews>
  <sheetFormatPr defaultRowHeight="15" x14ac:dyDescent="0.25"/>
  <cols>
    <col min="1" max="1" width="10.42578125" bestFit="1" customWidth="1"/>
    <col min="2" max="2" width="14.42578125" bestFit="1" customWidth="1"/>
    <col min="3" max="4" width="8.7109375" bestFit="1" customWidth="1"/>
    <col min="5" max="5" width="24.42578125" bestFit="1" customWidth="1"/>
    <col min="6" max="6" width="17.140625" bestFit="1" customWidth="1"/>
    <col min="7" max="7" width="13.85546875" bestFit="1" customWidth="1"/>
    <col min="8" max="8" width="13" bestFit="1" customWidth="1"/>
    <col min="9" max="9" width="12.5703125" bestFit="1" customWidth="1"/>
    <col min="11" max="11" width="13.85546875" bestFit="1" customWidth="1"/>
    <col min="12" max="12" width="28.85546875" bestFit="1" customWidth="1"/>
    <col min="13" max="13" width="6" bestFit="1" customWidth="1"/>
    <col min="14" max="14" width="21.7109375" bestFit="1" customWidth="1"/>
    <col min="15" max="15" width="7" bestFit="1" customWidth="1"/>
    <col min="16" max="16" width="34" bestFit="1" customWidth="1"/>
    <col min="17" max="17" width="26.7109375" bestFit="1" customWidth="1"/>
    <col min="18" max="18" width="20.85546875" bestFit="1" customWidth="1"/>
    <col min="19" max="19" width="15.28515625" bestFit="1" customWidth="1"/>
    <col min="20" max="20" width="27.7109375" bestFit="1" customWidth="1"/>
    <col min="21" max="21" width="15.140625" bestFit="1" customWidth="1"/>
    <col min="22" max="22" width="20.85546875" bestFit="1" customWidth="1"/>
    <col min="23" max="23" width="15.28515625" bestFit="1" customWidth="1"/>
    <col min="24" max="27" width="4.85546875" bestFit="1" customWidth="1"/>
    <col min="28" max="33" width="5.85546875" bestFit="1" customWidth="1"/>
    <col min="34" max="34" width="10.7109375" bestFit="1" customWidth="1"/>
  </cols>
  <sheetData>
    <row r="1" spans="1:17" x14ac:dyDescent="0.25">
      <c r="A1" s="289" t="s">
        <v>33</v>
      </c>
      <c r="B1" s="289" t="s">
        <v>34</v>
      </c>
      <c r="C1" s="289" t="s">
        <v>35</v>
      </c>
      <c r="D1" s="289" t="s">
        <v>36</v>
      </c>
      <c r="E1" s="289" t="s">
        <v>37</v>
      </c>
      <c r="F1" s="289" t="s">
        <v>38</v>
      </c>
      <c r="G1" s="289" t="s">
        <v>39</v>
      </c>
      <c r="H1" s="289" t="s">
        <v>40</v>
      </c>
      <c r="I1" s="289" t="s">
        <v>334</v>
      </c>
      <c r="L1" s="288" t="s">
        <v>335</v>
      </c>
    </row>
    <row r="2" spans="1:17" x14ac:dyDescent="0.25">
      <c r="A2" s="285">
        <v>44706</v>
      </c>
      <c r="B2" s="289" t="s">
        <v>342</v>
      </c>
      <c r="C2" s="289">
        <v>1701</v>
      </c>
      <c r="D2" s="289" t="s">
        <v>17</v>
      </c>
      <c r="E2" s="289">
        <v>10000</v>
      </c>
      <c r="F2" s="289">
        <v>200000</v>
      </c>
      <c r="G2" s="289">
        <v>1000</v>
      </c>
      <c r="H2" s="289">
        <v>6</v>
      </c>
      <c r="I2" s="289">
        <v>6000</v>
      </c>
      <c r="L2" t="s">
        <v>336</v>
      </c>
      <c r="N2" t="s">
        <v>337</v>
      </c>
      <c r="P2" t="s">
        <v>338</v>
      </c>
      <c r="Q2" t="s">
        <v>339</v>
      </c>
    </row>
    <row r="3" spans="1:17" x14ac:dyDescent="0.25">
      <c r="A3" s="285">
        <v>44706</v>
      </c>
      <c r="B3" s="289" t="s">
        <v>342</v>
      </c>
      <c r="C3" s="289">
        <v>1701</v>
      </c>
      <c r="D3" s="289" t="s">
        <v>18</v>
      </c>
      <c r="E3" s="289">
        <v>10000</v>
      </c>
      <c r="F3" s="289">
        <v>200000</v>
      </c>
      <c r="G3" s="289">
        <v>1000</v>
      </c>
      <c r="H3" s="289">
        <v>6</v>
      </c>
      <c r="I3" s="289">
        <v>6000</v>
      </c>
      <c r="K3" s="288" t="s">
        <v>340</v>
      </c>
      <c r="L3" t="s">
        <v>17</v>
      </c>
      <c r="M3" t="s">
        <v>18</v>
      </c>
      <c r="N3" t="s">
        <v>17</v>
      </c>
      <c r="O3" t="s">
        <v>18</v>
      </c>
    </row>
    <row r="4" spans="1:17" x14ac:dyDescent="0.25">
      <c r="A4" s="285">
        <v>44706</v>
      </c>
      <c r="B4" s="289" t="s">
        <v>343</v>
      </c>
      <c r="C4" s="289">
        <v>1701</v>
      </c>
      <c r="D4" s="289" t="s">
        <v>18</v>
      </c>
      <c r="E4" s="289">
        <v>10000</v>
      </c>
      <c r="F4" s="289">
        <v>200000</v>
      </c>
      <c r="G4" s="289">
        <v>1000</v>
      </c>
      <c r="H4" s="289">
        <v>6</v>
      </c>
      <c r="I4" s="289">
        <v>6000</v>
      </c>
      <c r="K4" s="286">
        <v>44706</v>
      </c>
      <c r="L4" s="289">
        <v>10000</v>
      </c>
      <c r="M4" s="289">
        <v>20000</v>
      </c>
      <c r="N4" s="289">
        <v>200000</v>
      </c>
      <c r="O4" s="289">
        <v>400000</v>
      </c>
      <c r="P4" s="289">
        <v>30000</v>
      </c>
      <c r="Q4" s="289">
        <v>600000</v>
      </c>
    </row>
    <row r="5" spans="1:17" x14ac:dyDescent="0.25">
      <c r="A5" s="285"/>
      <c r="K5" s="287" t="s">
        <v>342</v>
      </c>
      <c r="L5" s="289">
        <v>10000</v>
      </c>
      <c r="M5" s="289">
        <v>10000</v>
      </c>
      <c r="N5" s="289">
        <v>200000</v>
      </c>
      <c r="O5" s="289">
        <v>200000</v>
      </c>
      <c r="P5" s="289">
        <v>20000</v>
      </c>
      <c r="Q5" s="289">
        <v>400000</v>
      </c>
    </row>
    <row r="6" spans="1:17" x14ac:dyDescent="0.25">
      <c r="A6" s="285"/>
      <c r="K6" s="287" t="s">
        <v>343</v>
      </c>
      <c r="L6" s="289"/>
      <c r="M6" s="289">
        <v>10000</v>
      </c>
      <c r="N6" s="289"/>
      <c r="O6" s="289">
        <v>200000</v>
      </c>
      <c r="P6" s="289">
        <v>10000</v>
      </c>
      <c r="Q6" s="289">
        <v>200000</v>
      </c>
    </row>
    <row r="7" spans="1:17" x14ac:dyDescent="0.25">
      <c r="K7" s="290" t="s">
        <v>341</v>
      </c>
      <c r="L7" s="289">
        <v>10000</v>
      </c>
      <c r="M7" s="289">
        <v>20000</v>
      </c>
      <c r="N7" s="289">
        <v>200000</v>
      </c>
      <c r="O7" s="289">
        <v>400000</v>
      </c>
      <c r="P7" s="289">
        <v>30000</v>
      </c>
      <c r="Q7" s="289">
        <v>600000</v>
      </c>
    </row>
    <row r="11" spans="1:17" x14ac:dyDescent="0.25">
      <c r="A11" s="289"/>
      <c r="B11" s="289"/>
      <c r="C11" s="289"/>
      <c r="D11" s="289"/>
      <c r="E11" s="289"/>
      <c r="F11" s="289"/>
      <c r="G11" s="289"/>
      <c r="H11" s="289"/>
      <c r="I11" s="289"/>
    </row>
    <row r="12" spans="1:17" x14ac:dyDescent="0.25">
      <c r="A12" s="285"/>
      <c r="B12" s="289"/>
      <c r="C12" s="289"/>
      <c r="D12" s="289"/>
      <c r="E12" s="289"/>
      <c r="F12" s="289"/>
      <c r="G12" s="289"/>
      <c r="H12" s="289"/>
      <c r="I12" s="289"/>
    </row>
  </sheetData>
  <phoneticPr fontId="24" type="noConversion"/>
  <pageMargins left="0.7" right="0.7" top="0.75" bottom="0.75" header="0.3" footer="0.3"/>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1E4468-229B-4776-A14A-C36E6295A82C}">
  <sheetPr codeName="Sheet17"/>
  <dimension ref="A1:N32"/>
  <sheetViews>
    <sheetView view="pageBreakPreview" zoomScale="80" zoomScaleNormal="110" zoomScaleSheetLayoutView="80" workbookViewId="0">
      <selection activeCell="A3" sqref="A3"/>
    </sheetView>
  </sheetViews>
  <sheetFormatPr defaultColWidth="8.5703125" defaultRowHeight="14.25" x14ac:dyDescent="0.2"/>
  <cols>
    <col min="1" max="2" width="21.42578125" style="6" customWidth="1"/>
    <col min="3" max="12" width="16.42578125" style="6" customWidth="1"/>
    <col min="13" max="13" width="24.85546875" style="6" customWidth="1"/>
    <col min="14" max="16384" width="8.5703125" style="6"/>
  </cols>
  <sheetData>
    <row r="1" spans="1:14" ht="15" x14ac:dyDescent="0.25">
      <c r="A1" s="195" t="s">
        <v>134</v>
      </c>
      <c r="B1" s="195"/>
      <c r="C1" s="195"/>
      <c r="D1" s="195"/>
      <c r="E1" s="195"/>
      <c r="F1" s="195"/>
      <c r="G1" s="195"/>
      <c r="H1" s="195"/>
      <c r="I1" s="195"/>
      <c r="J1" s="195"/>
      <c r="K1" s="195"/>
      <c r="L1" s="195"/>
    </row>
    <row r="2" spans="1:14" ht="15.75" thickBot="1" x14ac:dyDescent="0.3">
      <c r="A2" s="74" t="s">
        <v>48</v>
      </c>
      <c r="B2" s="74" t="s">
        <v>125</v>
      </c>
      <c r="C2" s="74" t="s">
        <v>33</v>
      </c>
      <c r="D2" s="74" t="s">
        <v>63</v>
      </c>
      <c r="E2" s="74" t="s">
        <v>42</v>
      </c>
      <c r="F2" s="74" t="s">
        <v>135</v>
      </c>
      <c r="G2" s="75" t="s">
        <v>136</v>
      </c>
      <c r="H2" s="76" t="s">
        <v>109</v>
      </c>
      <c r="I2" s="74" t="s">
        <v>43</v>
      </c>
      <c r="J2" s="74" t="s">
        <v>44</v>
      </c>
      <c r="K2" s="74" t="s">
        <v>45</v>
      </c>
      <c r="L2" s="74" t="s">
        <v>46</v>
      </c>
      <c r="M2" s="74" t="s">
        <v>126</v>
      </c>
    </row>
    <row r="3" spans="1:14" ht="15" customHeight="1" x14ac:dyDescent="0.2">
      <c r="A3" s="7"/>
      <c r="B3" s="77"/>
      <c r="C3" s="77"/>
      <c r="D3" s="77"/>
      <c r="E3" s="77"/>
      <c r="F3" s="77"/>
      <c r="G3" s="78"/>
      <c r="H3" s="79"/>
      <c r="I3" s="80"/>
      <c r="J3" s="80"/>
      <c r="K3" s="80">
        <f>Table112[[#This Row],[Gross]]-Table112[[#This Row],[Tare]]</f>
        <v>0</v>
      </c>
      <c r="L3" s="81"/>
      <c r="M3" s="82"/>
    </row>
    <row r="4" spans="1:14" x14ac:dyDescent="0.2">
      <c r="A4" s="9"/>
      <c r="B4" s="83"/>
      <c r="C4" s="83"/>
      <c r="D4" s="83"/>
      <c r="E4" s="83"/>
      <c r="F4" s="83"/>
      <c r="G4" s="8"/>
      <c r="H4" s="10"/>
      <c r="I4" s="84"/>
      <c r="J4" s="84"/>
      <c r="K4" s="80">
        <f>Table112[[#This Row],[Gross]]-Table112[[#This Row],[Tare]]</f>
        <v>0</v>
      </c>
      <c r="L4" s="11"/>
      <c r="M4" s="82"/>
    </row>
    <row r="5" spans="1:14" x14ac:dyDescent="0.2">
      <c r="A5" s="9"/>
      <c r="B5" s="83"/>
      <c r="C5" s="83"/>
      <c r="D5" s="83"/>
      <c r="E5" s="83"/>
      <c r="F5" s="83"/>
      <c r="G5" s="8"/>
      <c r="H5" s="10"/>
      <c r="I5" s="84"/>
      <c r="J5" s="84"/>
      <c r="K5" s="80">
        <f>Table112[[#This Row],[Gross]]-Table112[[#This Row],[Tare]]</f>
        <v>0</v>
      </c>
      <c r="L5" s="11"/>
      <c r="M5" s="82"/>
    </row>
    <row r="6" spans="1:14" x14ac:dyDescent="0.2">
      <c r="A6" s="9"/>
      <c r="B6" s="83"/>
      <c r="C6" s="83"/>
      <c r="D6" s="83"/>
      <c r="E6" s="83"/>
      <c r="F6" s="83"/>
      <c r="G6" s="8"/>
      <c r="H6" s="10"/>
      <c r="I6" s="84"/>
      <c r="J6" s="84"/>
      <c r="K6" s="80">
        <f>Table112[[#This Row],[Gross]]-Table112[[#This Row],[Tare]]</f>
        <v>0</v>
      </c>
      <c r="L6" s="11"/>
      <c r="M6" s="82"/>
    </row>
    <row r="7" spans="1:14" x14ac:dyDescent="0.2">
      <c r="A7" s="9"/>
      <c r="B7" s="83"/>
      <c r="C7" s="83"/>
      <c r="D7" s="83"/>
      <c r="E7" s="83"/>
      <c r="F7" s="83"/>
      <c r="G7" s="8"/>
      <c r="H7" s="10"/>
      <c r="I7" s="84"/>
      <c r="J7" s="84"/>
      <c r="K7" s="80">
        <f>Table112[[#This Row],[Gross]]-Table112[[#This Row],[Tare]]</f>
        <v>0</v>
      </c>
      <c r="L7" s="10"/>
      <c r="M7" s="82"/>
    </row>
    <row r="8" spans="1:14" x14ac:dyDescent="0.2">
      <c r="A8" s="9"/>
      <c r="B8" s="83"/>
      <c r="C8" s="83"/>
      <c r="D8" s="83"/>
      <c r="E8" s="83"/>
      <c r="F8" s="83"/>
      <c r="G8" s="8"/>
      <c r="H8" s="10"/>
      <c r="I8" s="84"/>
      <c r="J8" s="84"/>
      <c r="K8" s="80">
        <f>Table112[[#This Row],[Gross]]-Table112[[#This Row],[Tare]]</f>
        <v>0</v>
      </c>
      <c r="L8" s="11"/>
      <c r="M8" s="82"/>
    </row>
    <row r="9" spans="1:14" x14ac:dyDescent="0.2">
      <c r="A9" s="9"/>
      <c r="B9" s="83"/>
      <c r="C9" s="83"/>
      <c r="D9" s="83"/>
      <c r="E9" s="83"/>
      <c r="F9" s="83"/>
      <c r="G9" s="8"/>
      <c r="H9" s="10"/>
      <c r="I9" s="10"/>
      <c r="J9" s="10"/>
      <c r="K9" s="80">
        <f>Table112[[#This Row],[Gross]]-Table112[[#This Row],[Tare]]</f>
        <v>0</v>
      </c>
      <c r="L9" s="11"/>
      <c r="M9" s="82"/>
      <c r="N9" s="6" t="s">
        <v>47</v>
      </c>
    </row>
    <row r="10" spans="1:14" x14ac:dyDescent="0.2">
      <c r="A10" s="9"/>
      <c r="B10" s="83"/>
      <c r="C10" s="83"/>
      <c r="D10" s="83"/>
      <c r="E10" s="83"/>
      <c r="F10" s="83"/>
      <c r="G10" s="8"/>
      <c r="H10" s="10"/>
      <c r="I10" s="10"/>
      <c r="J10" s="10"/>
      <c r="K10" s="80">
        <f>Table112[[#This Row],[Gross]]-Table112[[#This Row],[Tare]]</f>
        <v>0</v>
      </c>
      <c r="L10" s="11"/>
      <c r="M10" s="82"/>
    </row>
    <row r="11" spans="1:14" x14ac:dyDescent="0.2">
      <c r="A11" s="9"/>
      <c r="B11" s="83"/>
      <c r="C11" s="83"/>
      <c r="D11" s="83"/>
      <c r="E11" s="83"/>
      <c r="F11" s="83"/>
      <c r="G11" s="8"/>
      <c r="H11" s="10"/>
      <c r="I11" s="10"/>
      <c r="J11" s="10"/>
      <c r="K11" s="80">
        <f>Table112[[#This Row],[Gross]]-Table112[[#This Row],[Tare]]</f>
        <v>0</v>
      </c>
      <c r="L11" s="11"/>
      <c r="M11" s="82"/>
    </row>
    <row r="12" spans="1:14" x14ac:dyDescent="0.2">
      <c r="A12" s="9"/>
      <c r="B12" s="83"/>
      <c r="C12" s="83"/>
      <c r="D12" s="83"/>
      <c r="E12" s="83"/>
      <c r="F12" s="83"/>
      <c r="G12" s="8"/>
      <c r="H12" s="10"/>
      <c r="I12" s="10"/>
      <c r="J12" s="10"/>
      <c r="K12" s="80">
        <f>Table112[[#This Row],[Gross]]-Table112[[#This Row],[Tare]]</f>
        <v>0</v>
      </c>
      <c r="L12" s="11"/>
      <c r="M12" s="82"/>
    </row>
    <row r="13" spans="1:14" x14ac:dyDescent="0.2">
      <c r="A13" s="9"/>
      <c r="B13" s="83"/>
      <c r="C13" s="83"/>
      <c r="D13" s="83"/>
      <c r="E13" s="83"/>
      <c r="F13" s="83"/>
      <c r="G13" s="8"/>
      <c r="H13" s="10"/>
      <c r="I13" s="10"/>
      <c r="J13" s="10"/>
      <c r="K13" s="80">
        <f>Table112[[#This Row],[Gross]]-Table112[[#This Row],[Tare]]</f>
        <v>0</v>
      </c>
      <c r="L13" s="11"/>
      <c r="M13" s="82"/>
    </row>
    <row r="14" spans="1:14" x14ac:dyDescent="0.2">
      <c r="A14" s="9"/>
      <c r="B14" s="83"/>
      <c r="C14" s="83"/>
      <c r="D14" s="83"/>
      <c r="E14" s="83"/>
      <c r="F14" s="83"/>
      <c r="G14" s="8"/>
      <c r="H14" s="10"/>
      <c r="I14" s="10"/>
      <c r="J14" s="10"/>
      <c r="K14" s="80">
        <f>Table112[[#This Row],[Gross]]-Table112[[#This Row],[Tare]]</f>
        <v>0</v>
      </c>
      <c r="L14" s="11"/>
      <c r="M14" s="82"/>
    </row>
    <row r="15" spans="1:14" x14ac:dyDescent="0.2">
      <c r="A15" s="9"/>
      <c r="B15" s="83"/>
      <c r="C15" s="83"/>
      <c r="D15" s="83"/>
      <c r="E15" s="83"/>
      <c r="F15" s="83"/>
      <c r="G15" s="8"/>
      <c r="H15" s="10"/>
      <c r="I15" s="10"/>
      <c r="J15" s="10"/>
      <c r="K15" s="80">
        <f>Table112[[#This Row],[Gross]]-Table112[[#This Row],[Tare]]</f>
        <v>0</v>
      </c>
      <c r="L15" s="11"/>
      <c r="M15" s="82"/>
    </row>
    <row r="16" spans="1:14" x14ac:dyDescent="0.2">
      <c r="A16" s="9"/>
      <c r="B16" s="83"/>
      <c r="C16" s="83"/>
      <c r="D16" s="83"/>
      <c r="E16" s="83"/>
      <c r="F16" s="83"/>
      <c r="G16" s="8"/>
      <c r="H16" s="10"/>
      <c r="I16" s="10"/>
      <c r="J16" s="10"/>
      <c r="K16" s="80">
        <f>Table112[[#This Row],[Gross]]-Table112[[#This Row],[Tare]]</f>
        <v>0</v>
      </c>
      <c r="L16" s="11"/>
      <c r="M16" s="82"/>
    </row>
    <row r="17" spans="1:14" x14ac:dyDescent="0.2">
      <c r="A17" s="9"/>
      <c r="B17" s="83"/>
      <c r="C17" s="83"/>
      <c r="D17" s="83"/>
      <c r="E17" s="83"/>
      <c r="F17" s="83"/>
      <c r="G17" s="8"/>
      <c r="H17" s="10"/>
      <c r="I17" s="10"/>
      <c r="J17" s="10"/>
      <c r="K17" s="80">
        <f>Table112[[#This Row],[Gross]]-Table112[[#This Row],[Tare]]</f>
        <v>0</v>
      </c>
      <c r="L17" s="11"/>
      <c r="M17" s="82"/>
    </row>
    <row r="18" spans="1:14" x14ac:dyDescent="0.2">
      <c r="A18" s="9"/>
      <c r="B18" s="83"/>
      <c r="C18" s="83"/>
      <c r="D18" s="83"/>
      <c r="E18" s="83"/>
      <c r="F18" s="83"/>
      <c r="G18" s="8"/>
      <c r="H18" s="10"/>
      <c r="I18" s="84"/>
      <c r="J18" s="84"/>
      <c r="K18" s="80">
        <f>Table112[[#This Row],[Gross]]-Table112[[#This Row],[Tare]]</f>
        <v>0</v>
      </c>
      <c r="L18" s="11"/>
      <c r="M18" s="82"/>
    </row>
    <row r="19" spans="1:14" x14ac:dyDescent="0.2">
      <c r="A19" s="9"/>
      <c r="B19" s="83"/>
      <c r="C19" s="83"/>
      <c r="D19" s="83"/>
      <c r="E19" s="83"/>
      <c r="F19" s="83"/>
      <c r="G19" s="8"/>
      <c r="H19" s="10"/>
      <c r="I19" s="10"/>
      <c r="J19" s="10"/>
      <c r="K19" s="80">
        <f>Table112[[#This Row],[Gross]]-Table112[[#This Row],[Tare]]</f>
        <v>0</v>
      </c>
      <c r="L19" s="11"/>
      <c r="M19" s="82"/>
    </row>
    <row r="20" spans="1:14" x14ac:dyDescent="0.2">
      <c r="A20" s="9"/>
      <c r="B20" s="83"/>
      <c r="C20" s="83"/>
      <c r="D20" s="83"/>
      <c r="E20" s="83"/>
      <c r="F20" s="83"/>
      <c r="G20" s="8"/>
      <c r="H20" s="10"/>
      <c r="I20" s="10"/>
      <c r="J20" s="10"/>
      <c r="K20" s="80">
        <f>Table112[[#This Row],[Gross]]-Table112[[#This Row],[Tare]]</f>
        <v>0</v>
      </c>
      <c r="L20" s="11"/>
      <c r="M20" s="82"/>
    </row>
    <row r="21" spans="1:14" x14ac:dyDescent="0.2">
      <c r="A21" s="9"/>
      <c r="B21" s="83"/>
      <c r="C21" s="83"/>
      <c r="D21" s="83"/>
      <c r="E21" s="83"/>
      <c r="F21" s="83"/>
      <c r="G21" s="8"/>
      <c r="H21" s="10"/>
      <c r="I21" s="10"/>
      <c r="J21" s="10"/>
      <c r="K21" s="80">
        <f>Table112[[#This Row],[Gross]]-Table112[[#This Row],[Tare]]</f>
        <v>0</v>
      </c>
      <c r="L21" s="10"/>
      <c r="M21" s="82"/>
    </row>
    <row r="22" spans="1:14" x14ac:dyDescent="0.2">
      <c r="A22" s="9"/>
      <c r="B22" s="83"/>
      <c r="C22" s="83"/>
      <c r="D22" s="83"/>
      <c r="E22" s="83"/>
      <c r="F22" s="83"/>
      <c r="G22" s="8"/>
      <c r="H22" s="10"/>
      <c r="I22" s="10"/>
      <c r="J22" s="10"/>
      <c r="K22" s="80">
        <f>Table112[[#This Row],[Gross]]-Table112[[#This Row],[Tare]]</f>
        <v>0</v>
      </c>
      <c r="L22" s="11"/>
      <c r="M22" s="82"/>
    </row>
    <row r="23" spans="1:14" x14ac:dyDescent="0.2">
      <c r="A23" s="9"/>
      <c r="B23" s="83"/>
      <c r="C23" s="83"/>
      <c r="D23" s="83"/>
      <c r="E23" s="83"/>
      <c r="F23" s="83"/>
      <c r="G23" s="8"/>
      <c r="H23" s="10"/>
      <c r="I23" s="10"/>
      <c r="J23" s="10"/>
      <c r="K23" s="80">
        <f>Table112[[#This Row],[Gross]]-Table112[[#This Row],[Tare]]</f>
        <v>0</v>
      </c>
      <c r="L23" s="11"/>
      <c r="M23" s="82"/>
      <c r="N23" s="6" t="s">
        <v>47</v>
      </c>
    </row>
    <row r="24" spans="1:14" x14ac:dyDescent="0.2">
      <c r="A24" s="9"/>
      <c r="B24" s="83"/>
      <c r="C24" s="83"/>
      <c r="D24" s="83"/>
      <c r="E24" s="83"/>
      <c r="F24" s="83"/>
      <c r="G24" s="8"/>
      <c r="H24" s="10"/>
      <c r="I24" s="10"/>
      <c r="J24" s="10"/>
      <c r="K24" s="80">
        <f>Table112[[#This Row],[Gross]]-Table112[[#This Row],[Tare]]</f>
        <v>0</v>
      </c>
      <c r="L24" s="11"/>
      <c r="M24" s="82"/>
    </row>
    <row r="25" spans="1:14" x14ac:dyDescent="0.2">
      <c r="A25" s="9"/>
      <c r="B25" s="83"/>
      <c r="C25" s="83"/>
      <c r="D25" s="83"/>
      <c r="E25" s="83"/>
      <c r="F25" s="83"/>
      <c r="G25" s="8"/>
      <c r="H25" s="10"/>
      <c r="I25" s="10"/>
      <c r="J25" s="10"/>
      <c r="K25" s="80">
        <f>Table112[[#This Row],[Gross]]-Table112[[#This Row],[Tare]]</f>
        <v>0</v>
      </c>
      <c r="L25" s="11"/>
      <c r="M25" s="82"/>
    </row>
    <row r="26" spans="1:14" x14ac:dyDescent="0.2">
      <c r="A26" s="9"/>
      <c r="B26" s="83"/>
      <c r="C26" s="83"/>
      <c r="D26" s="83"/>
      <c r="E26" s="83"/>
      <c r="F26" s="83"/>
      <c r="G26" s="8"/>
      <c r="H26" s="10"/>
      <c r="I26" s="10"/>
      <c r="J26" s="10"/>
      <c r="K26" s="80">
        <f>Table112[[#This Row],[Gross]]-Table112[[#This Row],[Tare]]</f>
        <v>0</v>
      </c>
      <c r="L26" s="11"/>
      <c r="M26" s="82"/>
    </row>
    <row r="27" spans="1:14" x14ac:dyDescent="0.2">
      <c r="A27" s="9"/>
      <c r="B27" s="83"/>
      <c r="C27" s="83"/>
      <c r="D27" s="83"/>
      <c r="E27" s="83"/>
      <c r="F27" s="83"/>
      <c r="G27" s="8"/>
      <c r="H27" s="10"/>
      <c r="I27" s="10"/>
      <c r="J27" s="10"/>
      <c r="K27" s="80">
        <f>Table112[[#This Row],[Gross]]-Table112[[#This Row],[Tare]]</f>
        <v>0</v>
      </c>
      <c r="L27" s="11"/>
      <c r="M27" s="82"/>
    </row>
    <row r="28" spans="1:14" x14ac:dyDescent="0.2">
      <c r="A28" s="9"/>
      <c r="B28" s="83"/>
      <c r="C28" s="83"/>
      <c r="D28" s="83"/>
      <c r="E28" s="83"/>
      <c r="F28" s="83"/>
      <c r="G28" s="8"/>
      <c r="H28" s="10"/>
      <c r="I28" s="10"/>
      <c r="J28" s="10"/>
      <c r="K28" s="80">
        <f>Table112[[#This Row],[Gross]]-Table112[[#This Row],[Tare]]</f>
        <v>0</v>
      </c>
      <c r="L28" s="11"/>
      <c r="M28" s="82"/>
    </row>
    <row r="29" spans="1:14" x14ac:dyDescent="0.2">
      <c r="A29" s="9"/>
      <c r="B29" s="83"/>
      <c r="C29" s="83"/>
      <c r="D29" s="83"/>
      <c r="E29" s="83"/>
      <c r="F29" s="83"/>
      <c r="G29" s="8"/>
      <c r="H29" s="10"/>
      <c r="I29" s="10"/>
      <c r="J29" s="10"/>
      <c r="K29" s="80">
        <f>Table112[[#This Row],[Gross]]-Table112[[#This Row],[Tare]]</f>
        <v>0</v>
      </c>
      <c r="L29" s="11"/>
      <c r="M29" s="82"/>
    </row>
    <row r="30" spans="1:14" x14ac:dyDescent="0.2">
      <c r="A30" s="9"/>
      <c r="B30" s="83"/>
      <c r="C30" s="83"/>
      <c r="D30" s="83"/>
      <c r="E30" s="83"/>
      <c r="F30" s="83"/>
      <c r="G30" s="8"/>
      <c r="H30" s="10"/>
      <c r="I30" s="10"/>
      <c r="J30" s="10"/>
      <c r="K30" s="80">
        <f>Table112[[#This Row],[Gross]]-Table112[[#This Row],[Tare]]</f>
        <v>0</v>
      </c>
      <c r="L30" s="11"/>
      <c r="M30" s="82"/>
    </row>
    <row r="31" spans="1:14" ht="15" thickBot="1" x14ac:dyDescent="0.25">
      <c r="A31" s="12"/>
      <c r="B31" s="85"/>
      <c r="C31" s="85"/>
      <c r="D31" s="85"/>
      <c r="E31" s="85"/>
      <c r="F31" s="85"/>
      <c r="G31" s="13"/>
      <c r="H31" s="14"/>
      <c r="I31" s="14"/>
      <c r="J31" s="14"/>
      <c r="K31" s="80">
        <f>Table112[[#This Row],[Gross]]-Table112[[#This Row],[Tare]]</f>
        <v>0</v>
      </c>
      <c r="L31" s="15"/>
      <c r="M31" s="82"/>
    </row>
    <row r="32" spans="1:14" ht="15.75" thickBot="1" x14ac:dyDescent="0.3">
      <c r="J32" s="86" t="s">
        <v>137</v>
      </c>
      <c r="K32" s="87">
        <f>SUM(K3:K31)</f>
        <v>0</v>
      </c>
      <c r="L32" s="88">
        <f>SUM(L3:L31)</f>
        <v>0</v>
      </c>
      <c r="M32" s="82"/>
    </row>
  </sheetData>
  <mergeCells count="1">
    <mergeCell ref="A1:L1"/>
  </mergeCells>
  <pageMargins left="0.70866141732283472" right="0.70866141732283472" top="0.74803149606299213" bottom="0.74803149606299213" header="0.31496062992125984" footer="0.31496062992125984"/>
  <pageSetup scale="38" orientation="portrait" verticalDpi="300" r:id="rId1"/>
  <headerFooter>
    <oddHeader>&amp;L&amp;F
&amp;A
&amp;Z&amp;F&amp;R&amp;G</oddHeader>
  </headerFooter>
  <drawing r:id="rId2"/>
  <legacyDrawingHF r:id="rId3"/>
  <tableParts count="1">
    <tablePart r:id="rId4"/>
  </tableParts>
  <extLst>
    <ext xmlns:x15="http://schemas.microsoft.com/office/spreadsheetml/2010/11/main" uri="{3A4CF648-6AED-40f4-86FF-DC5316D8AED3}">
      <x14:slicerList xmlns:x14="http://schemas.microsoft.com/office/spreadsheetml/2009/9/main">
        <x14:slicer r:id="rId5"/>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A2A1FF-F1D3-4FCC-B6F7-6F4A567E7B11}">
  <dimension ref="A1:M61"/>
  <sheetViews>
    <sheetView view="pageBreakPreview" zoomScaleNormal="85" zoomScaleSheetLayoutView="100" workbookViewId="0">
      <pane ySplit="2" topLeftCell="A3" activePane="bottomLeft" state="frozen"/>
      <selection pane="bottomLeft" activeCell="A3" sqref="A3"/>
    </sheetView>
  </sheetViews>
  <sheetFormatPr defaultColWidth="8.5703125" defaultRowHeight="14.25" x14ac:dyDescent="0.2"/>
  <cols>
    <col min="1" max="3" width="21.42578125" style="6" customWidth="1"/>
    <col min="4" max="5" width="16.42578125" style="6" customWidth="1"/>
    <col min="6" max="6" width="24.42578125" style="6" bestFit="1" customWidth="1"/>
    <col min="7" max="11" width="16.42578125" style="6" customWidth="1"/>
    <col min="12" max="12" width="24.85546875" style="6" customWidth="1"/>
    <col min="13" max="16384" width="8.5703125" style="6"/>
  </cols>
  <sheetData>
    <row r="1" spans="1:12" ht="15" x14ac:dyDescent="0.25">
      <c r="A1" s="195" t="s">
        <v>138</v>
      </c>
      <c r="B1" s="195"/>
      <c r="C1" s="195"/>
      <c r="D1" s="195"/>
      <c r="E1" s="195"/>
      <c r="F1" s="195"/>
      <c r="G1" s="195"/>
      <c r="H1" s="195"/>
      <c r="I1" s="195"/>
      <c r="J1" s="195"/>
      <c r="K1" s="195"/>
      <c r="L1" s="195"/>
    </row>
    <row r="2" spans="1:12" ht="15.75" thickBot="1" x14ac:dyDescent="0.3">
      <c r="A2" s="74" t="s">
        <v>48</v>
      </c>
      <c r="B2" s="74" t="s">
        <v>139</v>
      </c>
      <c r="C2" s="74" t="s">
        <v>140</v>
      </c>
      <c r="D2" s="74" t="s">
        <v>33</v>
      </c>
      <c r="E2" s="74" t="s">
        <v>63</v>
      </c>
      <c r="F2" s="74" t="s">
        <v>320</v>
      </c>
      <c r="G2" s="74" t="s">
        <v>42</v>
      </c>
      <c r="H2" s="74" t="s">
        <v>43</v>
      </c>
      <c r="I2" s="74" t="s">
        <v>44</v>
      </c>
      <c r="J2" s="74" t="s">
        <v>45</v>
      </c>
      <c r="K2" s="74" t="s">
        <v>46</v>
      </c>
      <c r="L2" s="74" t="s">
        <v>126</v>
      </c>
    </row>
    <row r="3" spans="1:12" x14ac:dyDescent="0.2">
      <c r="A3" s="7"/>
      <c r="B3" s="77"/>
      <c r="C3" s="77"/>
      <c r="D3" s="77"/>
      <c r="E3" s="77"/>
      <c r="F3" s="77"/>
      <c r="G3" s="77"/>
      <c r="H3" s="80"/>
      <c r="I3" s="80"/>
      <c r="J3" s="80">
        <f>Table1413[[#This Row],[Gross]]-Table1413[[#This Row],[Tare]]</f>
        <v>0</v>
      </c>
      <c r="K3" s="81"/>
      <c r="L3" s="82"/>
    </row>
    <row r="4" spans="1:12" x14ac:dyDescent="0.2">
      <c r="A4" s="7"/>
      <c r="B4" s="77"/>
      <c r="C4" s="77"/>
      <c r="D4" s="77"/>
      <c r="E4" s="77"/>
      <c r="F4" s="77"/>
      <c r="G4" s="77"/>
      <c r="H4" s="80"/>
      <c r="I4" s="80"/>
      <c r="J4" s="80">
        <f>Table1413[[#This Row],[Gross]]-Table1413[[#This Row],[Tare]]</f>
        <v>0</v>
      </c>
      <c r="K4" s="81"/>
      <c r="L4" s="82"/>
    </row>
    <row r="5" spans="1:12" x14ac:dyDescent="0.2">
      <c r="A5" s="7"/>
      <c r="B5" s="77"/>
      <c r="C5" s="77"/>
      <c r="D5" s="77"/>
      <c r="E5" s="77"/>
      <c r="F5" s="77"/>
      <c r="G5" s="77"/>
      <c r="H5" s="80"/>
      <c r="I5" s="80"/>
      <c r="J5" s="80">
        <f>Table1413[[#This Row],[Gross]]-Table1413[[#This Row],[Tare]]</f>
        <v>0</v>
      </c>
      <c r="K5" s="81"/>
      <c r="L5" s="82"/>
    </row>
    <row r="6" spans="1:12" x14ac:dyDescent="0.2">
      <c r="A6" s="7"/>
      <c r="B6" s="77"/>
      <c r="C6" s="77"/>
      <c r="D6" s="77"/>
      <c r="E6" s="77"/>
      <c r="F6" s="77"/>
      <c r="G6" s="77"/>
      <c r="H6" s="80"/>
      <c r="I6" s="80"/>
      <c r="J6" s="80">
        <f>Table1413[[#This Row],[Gross]]-Table1413[[#This Row],[Tare]]</f>
        <v>0</v>
      </c>
      <c r="K6" s="81"/>
      <c r="L6" s="82"/>
    </row>
    <row r="7" spans="1:12" x14ac:dyDescent="0.2">
      <c r="A7" s="7"/>
      <c r="B7" s="77"/>
      <c r="C7" s="77"/>
      <c r="D7" s="77"/>
      <c r="E7" s="77"/>
      <c r="F7" s="77"/>
      <c r="G7" s="77"/>
      <c r="H7" s="80"/>
      <c r="I7" s="80"/>
      <c r="J7" s="80">
        <f>Table1413[[#This Row],[Gross]]-Table1413[[#This Row],[Tare]]</f>
        <v>0</v>
      </c>
      <c r="K7" s="81"/>
      <c r="L7" s="82"/>
    </row>
    <row r="8" spans="1:12" x14ac:dyDescent="0.2">
      <c r="A8" s="7"/>
      <c r="B8" s="77"/>
      <c r="C8" s="77"/>
      <c r="D8" s="77"/>
      <c r="E8" s="77"/>
      <c r="F8" s="77"/>
      <c r="G8" s="77"/>
      <c r="H8" s="80"/>
      <c r="I8" s="80"/>
      <c r="J8" s="80">
        <f>Table1413[[#This Row],[Gross]]-Table1413[[#This Row],[Tare]]</f>
        <v>0</v>
      </c>
      <c r="K8" s="81"/>
      <c r="L8" s="82"/>
    </row>
    <row r="9" spans="1:12" x14ac:dyDescent="0.2">
      <c r="A9" s="7"/>
      <c r="B9" s="77"/>
      <c r="C9" s="77"/>
      <c r="D9" s="77"/>
      <c r="E9" s="77"/>
      <c r="F9" s="77"/>
      <c r="G9" s="77"/>
      <c r="H9" s="80"/>
      <c r="I9" s="80"/>
      <c r="J9" s="80">
        <f>Table1413[[#This Row],[Gross]]-Table1413[[#This Row],[Tare]]</f>
        <v>0</v>
      </c>
      <c r="K9" s="81"/>
      <c r="L9" s="82"/>
    </row>
    <row r="10" spans="1:12" x14ac:dyDescent="0.2">
      <c r="A10" s="7"/>
      <c r="B10" s="77"/>
      <c r="C10" s="77"/>
      <c r="D10" s="77"/>
      <c r="E10" s="77"/>
      <c r="F10" s="77"/>
      <c r="G10" s="77"/>
      <c r="H10" s="80"/>
      <c r="I10" s="80"/>
      <c r="J10" s="80">
        <f>Table1413[[#This Row],[Gross]]-Table1413[[#This Row],[Tare]]</f>
        <v>0</v>
      </c>
      <c r="K10" s="81"/>
      <c r="L10" s="82"/>
    </row>
    <row r="11" spans="1:12" x14ac:dyDescent="0.2">
      <c r="A11" s="7"/>
      <c r="B11" s="77"/>
      <c r="C11" s="77"/>
      <c r="D11" s="77"/>
      <c r="E11" s="77"/>
      <c r="F11" s="77"/>
      <c r="G11" s="77"/>
      <c r="H11" s="80"/>
      <c r="I11" s="80"/>
      <c r="J11" s="80">
        <f>Table1413[[#This Row],[Gross]]-Table1413[[#This Row],[Tare]]</f>
        <v>0</v>
      </c>
      <c r="K11" s="81"/>
      <c r="L11" s="82"/>
    </row>
    <row r="12" spans="1:12" x14ac:dyDescent="0.2">
      <c r="A12" s="7"/>
      <c r="B12" s="77"/>
      <c r="C12" s="77"/>
      <c r="D12" s="77"/>
      <c r="E12" s="77"/>
      <c r="F12" s="77"/>
      <c r="G12" s="77"/>
      <c r="H12" s="80"/>
      <c r="I12" s="80"/>
      <c r="J12" s="80">
        <f>Table1413[[#This Row],[Gross]]-Table1413[[#This Row],[Tare]]</f>
        <v>0</v>
      </c>
      <c r="K12" s="81"/>
      <c r="L12" s="82"/>
    </row>
    <row r="13" spans="1:12" x14ac:dyDescent="0.2">
      <c r="A13" s="7"/>
      <c r="B13" s="77"/>
      <c r="C13" s="77"/>
      <c r="D13" s="77"/>
      <c r="E13" s="77"/>
      <c r="F13" s="77"/>
      <c r="G13" s="77"/>
      <c r="H13" s="80"/>
      <c r="I13" s="80"/>
      <c r="J13" s="80">
        <f>Table1413[[#This Row],[Gross]]-Table1413[[#This Row],[Tare]]</f>
        <v>0</v>
      </c>
      <c r="K13" s="81"/>
      <c r="L13" s="82"/>
    </row>
    <row r="14" spans="1:12" x14ac:dyDescent="0.2">
      <c r="A14" s="7"/>
      <c r="B14" s="77"/>
      <c r="C14" s="77"/>
      <c r="D14" s="77"/>
      <c r="E14" s="77"/>
      <c r="F14" s="77"/>
      <c r="G14" s="77"/>
      <c r="H14" s="80"/>
      <c r="I14" s="80"/>
      <c r="J14" s="80">
        <f>Table1413[[#This Row],[Gross]]-Table1413[[#This Row],[Tare]]</f>
        <v>0</v>
      </c>
      <c r="K14" s="81"/>
      <c r="L14" s="82"/>
    </row>
    <row r="15" spans="1:12" x14ac:dyDescent="0.2">
      <c r="A15" s="7"/>
      <c r="B15" s="77"/>
      <c r="C15" s="77"/>
      <c r="D15" s="77"/>
      <c r="E15" s="77"/>
      <c r="F15" s="77"/>
      <c r="G15" s="77"/>
      <c r="H15" s="80"/>
      <c r="I15" s="80"/>
      <c r="J15" s="80">
        <f>Table1413[[#This Row],[Gross]]-Table1413[[#This Row],[Tare]]</f>
        <v>0</v>
      </c>
      <c r="K15" s="81"/>
      <c r="L15" s="82"/>
    </row>
    <row r="16" spans="1:12" x14ac:dyDescent="0.2">
      <c r="A16" s="7"/>
      <c r="B16" s="77"/>
      <c r="C16" s="77"/>
      <c r="D16" s="77"/>
      <c r="E16" s="77"/>
      <c r="F16" s="77"/>
      <c r="G16" s="77"/>
      <c r="H16" s="80"/>
      <c r="I16" s="80"/>
      <c r="J16" s="80">
        <f>Table1413[[#This Row],[Gross]]-Table1413[[#This Row],[Tare]]</f>
        <v>0</v>
      </c>
      <c r="K16" s="81"/>
      <c r="L16" s="82"/>
    </row>
    <row r="17" spans="1:12" x14ac:dyDescent="0.2">
      <c r="A17" s="7"/>
      <c r="B17" s="77"/>
      <c r="C17" s="77"/>
      <c r="D17" s="77"/>
      <c r="E17" s="77"/>
      <c r="F17" s="77"/>
      <c r="G17" s="77"/>
      <c r="H17" s="80"/>
      <c r="I17" s="80"/>
      <c r="J17" s="80">
        <f>Table1413[[#This Row],[Gross]]-Table1413[[#This Row],[Tare]]</f>
        <v>0</v>
      </c>
      <c r="K17" s="81"/>
      <c r="L17" s="82"/>
    </row>
    <row r="18" spans="1:12" x14ac:dyDescent="0.2">
      <c r="A18" s="7"/>
      <c r="B18" s="77"/>
      <c r="C18" s="77"/>
      <c r="D18" s="77"/>
      <c r="E18" s="77"/>
      <c r="F18" s="77"/>
      <c r="G18" s="77"/>
      <c r="H18" s="80"/>
      <c r="I18" s="80"/>
      <c r="J18" s="80">
        <f>Table1413[[#This Row],[Gross]]-Table1413[[#This Row],[Tare]]</f>
        <v>0</v>
      </c>
      <c r="K18" s="81"/>
      <c r="L18" s="82"/>
    </row>
    <row r="19" spans="1:12" x14ac:dyDescent="0.2">
      <c r="A19" s="7"/>
      <c r="B19" s="77"/>
      <c r="C19" s="77"/>
      <c r="D19" s="77"/>
      <c r="E19" s="77"/>
      <c r="F19" s="77"/>
      <c r="G19" s="77"/>
      <c r="H19" s="80"/>
      <c r="I19" s="80"/>
      <c r="J19" s="80">
        <f>Table1413[[#This Row],[Gross]]-Table1413[[#This Row],[Tare]]</f>
        <v>0</v>
      </c>
      <c r="K19" s="81"/>
      <c r="L19" s="82"/>
    </row>
    <row r="20" spans="1:12" x14ac:dyDescent="0.2">
      <c r="A20" s="7"/>
      <c r="B20" s="77"/>
      <c r="C20" s="77"/>
      <c r="D20" s="77"/>
      <c r="E20" s="77"/>
      <c r="F20" s="77"/>
      <c r="G20" s="77"/>
      <c r="H20" s="80"/>
      <c r="I20" s="80"/>
      <c r="J20" s="80">
        <f>Table1413[[#This Row],[Gross]]-Table1413[[#This Row],[Tare]]</f>
        <v>0</v>
      </c>
      <c r="K20" s="81"/>
      <c r="L20" s="82"/>
    </row>
    <row r="21" spans="1:12" x14ac:dyDescent="0.2">
      <c r="A21" s="7"/>
      <c r="B21" s="77"/>
      <c r="C21" s="77"/>
      <c r="D21" s="77"/>
      <c r="E21" s="77"/>
      <c r="F21" s="77"/>
      <c r="G21" s="77"/>
      <c r="H21" s="80"/>
      <c r="I21" s="80"/>
      <c r="J21" s="80">
        <f>Table1413[[#This Row],[Gross]]-Table1413[[#This Row],[Tare]]</f>
        <v>0</v>
      </c>
      <c r="K21" s="81"/>
      <c r="L21" s="82"/>
    </row>
    <row r="22" spans="1:12" x14ac:dyDescent="0.2">
      <c r="A22" s="7"/>
      <c r="B22" s="77"/>
      <c r="C22" s="77"/>
      <c r="D22" s="77"/>
      <c r="E22" s="77"/>
      <c r="F22" s="77"/>
      <c r="G22" s="77"/>
      <c r="H22" s="80"/>
      <c r="I22" s="80"/>
      <c r="J22" s="80">
        <f>Table1413[[#This Row],[Gross]]-Table1413[[#This Row],[Tare]]</f>
        <v>0</v>
      </c>
      <c r="K22" s="81"/>
      <c r="L22" s="82"/>
    </row>
    <row r="23" spans="1:12" x14ac:dyDescent="0.2">
      <c r="A23" s="7"/>
      <c r="B23" s="77"/>
      <c r="C23" s="77"/>
      <c r="D23" s="77"/>
      <c r="E23" s="77"/>
      <c r="F23" s="77"/>
      <c r="G23" s="77"/>
      <c r="H23" s="80"/>
      <c r="I23" s="80"/>
      <c r="J23" s="80">
        <f>Table1413[[#This Row],[Gross]]-Table1413[[#This Row],[Tare]]</f>
        <v>0</v>
      </c>
      <c r="K23" s="81"/>
      <c r="L23" s="82"/>
    </row>
    <row r="24" spans="1:12" x14ac:dyDescent="0.2">
      <c r="A24" s="7"/>
      <c r="B24" s="77"/>
      <c r="C24" s="77"/>
      <c r="D24" s="77"/>
      <c r="E24" s="77"/>
      <c r="F24" s="77"/>
      <c r="G24" s="77"/>
      <c r="H24" s="80"/>
      <c r="I24" s="80"/>
      <c r="J24" s="80">
        <f>Table1413[[#This Row],[Gross]]-Table1413[[#This Row],[Tare]]</f>
        <v>0</v>
      </c>
      <c r="K24" s="81"/>
      <c r="L24" s="82"/>
    </row>
    <row r="25" spans="1:12" x14ac:dyDescent="0.2">
      <c r="A25" s="7"/>
      <c r="B25" s="77"/>
      <c r="C25" s="77"/>
      <c r="D25" s="77"/>
      <c r="E25" s="77"/>
      <c r="F25" s="77"/>
      <c r="G25" s="77"/>
      <c r="H25" s="80"/>
      <c r="I25" s="80"/>
      <c r="J25" s="80">
        <f>Table1413[[#This Row],[Gross]]-Table1413[[#This Row],[Tare]]</f>
        <v>0</v>
      </c>
      <c r="K25" s="81"/>
      <c r="L25" s="82"/>
    </row>
    <row r="26" spans="1:12" x14ac:dyDescent="0.2">
      <c r="A26" s="7"/>
      <c r="B26" s="77"/>
      <c r="C26" s="77"/>
      <c r="D26" s="77"/>
      <c r="E26" s="77"/>
      <c r="F26" s="77"/>
      <c r="G26" s="77"/>
      <c r="H26" s="80"/>
      <c r="I26" s="80"/>
      <c r="J26" s="80">
        <f>Table1413[[#This Row],[Gross]]-Table1413[[#This Row],[Tare]]</f>
        <v>0</v>
      </c>
      <c r="K26" s="81"/>
      <c r="L26" s="82"/>
    </row>
    <row r="27" spans="1:12" x14ac:dyDescent="0.2">
      <c r="A27" s="7"/>
      <c r="B27" s="77"/>
      <c r="C27" s="77"/>
      <c r="D27" s="77"/>
      <c r="E27" s="77"/>
      <c r="F27" s="77"/>
      <c r="G27" s="77"/>
      <c r="H27" s="80"/>
      <c r="I27" s="80"/>
      <c r="J27" s="80">
        <f>Table1413[[#This Row],[Gross]]-Table1413[[#This Row],[Tare]]</f>
        <v>0</v>
      </c>
      <c r="K27" s="81"/>
      <c r="L27" s="82"/>
    </row>
    <row r="28" spans="1:12" x14ac:dyDescent="0.2">
      <c r="A28" s="7"/>
      <c r="B28" s="77"/>
      <c r="C28" s="77"/>
      <c r="D28" s="77"/>
      <c r="E28" s="77"/>
      <c r="F28" s="77"/>
      <c r="G28" s="77"/>
      <c r="H28" s="80"/>
      <c r="I28" s="80"/>
      <c r="J28" s="80">
        <f>Table1413[[#This Row],[Gross]]-Table1413[[#This Row],[Tare]]</f>
        <v>0</v>
      </c>
      <c r="K28" s="81"/>
      <c r="L28" s="82"/>
    </row>
    <row r="29" spans="1:12" x14ac:dyDescent="0.2">
      <c r="A29" s="7"/>
      <c r="B29" s="77"/>
      <c r="C29" s="77"/>
      <c r="D29" s="77"/>
      <c r="E29" s="77"/>
      <c r="F29" s="77"/>
      <c r="G29" s="77"/>
      <c r="H29" s="80"/>
      <c r="I29" s="80"/>
      <c r="J29" s="80">
        <f>Table1413[[#This Row],[Gross]]-Table1413[[#This Row],[Tare]]</f>
        <v>0</v>
      </c>
      <c r="K29" s="81"/>
      <c r="L29" s="82"/>
    </row>
    <row r="30" spans="1:12" x14ac:dyDescent="0.2">
      <c r="A30" s="7"/>
      <c r="B30" s="77"/>
      <c r="C30" s="77"/>
      <c r="D30" s="77"/>
      <c r="E30" s="77"/>
      <c r="F30" s="77"/>
      <c r="G30" s="77"/>
      <c r="H30" s="80"/>
      <c r="I30" s="80"/>
      <c r="J30" s="80">
        <f>Table1413[[#This Row],[Gross]]-Table1413[[#This Row],[Tare]]</f>
        <v>0</v>
      </c>
      <c r="K30" s="81"/>
      <c r="L30" s="82"/>
    </row>
    <row r="31" spans="1:12" x14ac:dyDescent="0.2">
      <c r="A31" s="7"/>
      <c r="B31" s="77"/>
      <c r="C31" s="77"/>
      <c r="D31" s="77"/>
      <c r="E31" s="77"/>
      <c r="F31" s="77"/>
      <c r="G31" s="77"/>
      <c r="H31" s="80"/>
      <c r="I31" s="80"/>
      <c r="J31" s="80">
        <f>Table1413[[#This Row],[Gross]]-Table1413[[#This Row],[Tare]]</f>
        <v>0</v>
      </c>
      <c r="K31" s="81"/>
      <c r="L31" s="82"/>
    </row>
    <row r="32" spans="1:12" x14ac:dyDescent="0.2">
      <c r="A32" s="7"/>
      <c r="B32" s="77"/>
      <c r="C32" s="77"/>
      <c r="D32" s="77"/>
      <c r="E32" s="77"/>
      <c r="F32" s="77"/>
      <c r="G32" s="77"/>
      <c r="H32" s="80"/>
      <c r="I32" s="80"/>
      <c r="J32" s="80">
        <f>Table1413[[#This Row],[Gross]]-Table1413[[#This Row],[Tare]]</f>
        <v>0</v>
      </c>
      <c r="K32" s="81"/>
      <c r="L32" s="82"/>
    </row>
    <row r="33" spans="1:13" x14ac:dyDescent="0.2">
      <c r="A33" s="9"/>
      <c r="B33" s="83"/>
      <c r="C33" s="83"/>
      <c r="D33" s="83"/>
      <c r="E33" s="83"/>
      <c r="F33" s="83"/>
      <c r="G33" s="83"/>
      <c r="H33" s="84"/>
      <c r="I33" s="84"/>
      <c r="J33" s="80">
        <f>Table1413[[#This Row],[Gross]]-Table1413[[#This Row],[Tare]]</f>
        <v>0</v>
      </c>
      <c r="K33" s="11"/>
      <c r="L33" s="82"/>
    </row>
    <row r="34" spans="1:13" x14ac:dyDescent="0.2">
      <c r="A34" s="9"/>
      <c r="B34" s="83"/>
      <c r="C34" s="83"/>
      <c r="D34" s="83"/>
      <c r="E34" s="83"/>
      <c r="F34" s="83"/>
      <c r="G34" s="83"/>
      <c r="H34" s="84"/>
      <c r="I34" s="84"/>
      <c r="J34" s="80">
        <f>Table1413[[#This Row],[Gross]]-Table1413[[#This Row],[Tare]]</f>
        <v>0</v>
      </c>
      <c r="K34" s="11"/>
      <c r="L34" s="82"/>
    </row>
    <row r="35" spans="1:13" x14ac:dyDescent="0.2">
      <c r="A35" s="9"/>
      <c r="B35" s="83"/>
      <c r="C35" s="83"/>
      <c r="D35" s="83"/>
      <c r="E35" s="83"/>
      <c r="F35" s="83"/>
      <c r="G35" s="83"/>
      <c r="H35" s="84"/>
      <c r="I35" s="84"/>
      <c r="J35" s="80">
        <f>Table1413[[#This Row],[Gross]]-Table1413[[#This Row],[Tare]]</f>
        <v>0</v>
      </c>
      <c r="K35" s="11"/>
      <c r="L35" s="82"/>
    </row>
    <row r="36" spans="1:13" x14ac:dyDescent="0.2">
      <c r="A36" s="9"/>
      <c r="B36" s="83"/>
      <c r="C36" s="83"/>
      <c r="D36" s="83"/>
      <c r="E36" s="83"/>
      <c r="F36" s="83"/>
      <c r="G36" s="83"/>
      <c r="H36" s="84"/>
      <c r="I36" s="84"/>
      <c r="J36" s="80">
        <f>Table1413[[#This Row],[Gross]]-Table1413[[#This Row],[Tare]]</f>
        <v>0</v>
      </c>
      <c r="K36" s="10"/>
      <c r="L36" s="82"/>
    </row>
    <row r="37" spans="1:13" x14ac:dyDescent="0.2">
      <c r="A37" s="9"/>
      <c r="B37" s="83"/>
      <c r="C37" s="83"/>
      <c r="D37" s="83"/>
      <c r="E37" s="83"/>
      <c r="F37" s="83"/>
      <c r="G37" s="83"/>
      <c r="H37" s="84"/>
      <c r="I37" s="84"/>
      <c r="J37" s="80">
        <f>Table1413[[#This Row],[Gross]]-Table1413[[#This Row],[Tare]]</f>
        <v>0</v>
      </c>
      <c r="K37" s="11"/>
      <c r="L37" s="82"/>
    </row>
    <row r="38" spans="1:13" x14ac:dyDescent="0.2">
      <c r="A38" s="9"/>
      <c r="B38" s="83"/>
      <c r="C38" s="83"/>
      <c r="D38" s="83"/>
      <c r="E38" s="83"/>
      <c r="F38" s="83"/>
      <c r="G38" s="83"/>
      <c r="H38" s="10"/>
      <c r="I38" s="10"/>
      <c r="J38" s="80">
        <f>Table1413[[#This Row],[Gross]]-Table1413[[#This Row],[Tare]]</f>
        <v>0</v>
      </c>
      <c r="K38" s="11"/>
      <c r="L38" s="82"/>
      <c r="M38" s="6" t="s">
        <v>47</v>
      </c>
    </row>
    <row r="39" spans="1:13" x14ac:dyDescent="0.2">
      <c r="A39" s="9"/>
      <c r="B39" s="83"/>
      <c r="C39" s="83"/>
      <c r="D39" s="83"/>
      <c r="E39" s="83"/>
      <c r="F39" s="83"/>
      <c r="G39" s="83"/>
      <c r="H39" s="10"/>
      <c r="I39" s="10"/>
      <c r="J39" s="80">
        <f>Table1413[[#This Row],[Gross]]-Table1413[[#This Row],[Tare]]</f>
        <v>0</v>
      </c>
      <c r="K39" s="11"/>
      <c r="L39" s="82"/>
    </row>
    <row r="40" spans="1:13" x14ac:dyDescent="0.2">
      <c r="A40" s="9"/>
      <c r="B40" s="83"/>
      <c r="C40" s="83"/>
      <c r="D40" s="83"/>
      <c r="E40" s="83"/>
      <c r="F40" s="83"/>
      <c r="G40" s="83"/>
      <c r="H40" s="10"/>
      <c r="I40" s="10"/>
      <c r="J40" s="80">
        <f>Table1413[[#This Row],[Gross]]-Table1413[[#This Row],[Tare]]</f>
        <v>0</v>
      </c>
      <c r="K40" s="11"/>
      <c r="L40" s="82"/>
    </row>
    <row r="41" spans="1:13" x14ac:dyDescent="0.2">
      <c r="A41" s="9"/>
      <c r="B41" s="83"/>
      <c r="C41" s="83"/>
      <c r="D41" s="83"/>
      <c r="E41" s="83"/>
      <c r="F41" s="83"/>
      <c r="G41" s="83"/>
      <c r="H41" s="10"/>
      <c r="I41" s="10"/>
      <c r="J41" s="80">
        <f>Table1413[[#This Row],[Gross]]-Table1413[[#This Row],[Tare]]</f>
        <v>0</v>
      </c>
      <c r="K41" s="11"/>
      <c r="L41" s="82"/>
    </row>
    <row r="42" spans="1:13" x14ac:dyDescent="0.2">
      <c r="A42" s="9"/>
      <c r="B42" s="83"/>
      <c r="C42" s="83"/>
      <c r="D42" s="83"/>
      <c r="E42" s="83"/>
      <c r="F42" s="83"/>
      <c r="G42" s="83"/>
      <c r="H42" s="10"/>
      <c r="I42" s="10"/>
      <c r="J42" s="80">
        <f>Table1413[[#This Row],[Gross]]-Table1413[[#This Row],[Tare]]</f>
        <v>0</v>
      </c>
      <c r="K42" s="11"/>
      <c r="L42" s="82"/>
    </row>
    <row r="43" spans="1:13" x14ac:dyDescent="0.2">
      <c r="A43" s="9"/>
      <c r="B43" s="83"/>
      <c r="C43" s="83"/>
      <c r="D43" s="83"/>
      <c r="E43" s="83"/>
      <c r="F43" s="83"/>
      <c r="G43" s="83"/>
      <c r="H43" s="10"/>
      <c r="I43" s="10"/>
      <c r="J43" s="80">
        <f>Table1413[[#This Row],[Gross]]-Table1413[[#This Row],[Tare]]</f>
        <v>0</v>
      </c>
      <c r="K43" s="11"/>
      <c r="L43" s="82"/>
    </row>
    <row r="44" spans="1:13" x14ac:dyDescent="0.2">
      <c r="A44" s="9"/>
      <c r="B44" s="83"/>
      <c r="C44" s="83"/>
      <c r="D44" s="83"/>
      <c r="E44" s="83"/>
      <c r="F44" s="83"/>
      <c r="G44" s="83"/>
      <c r="H44" s="10"/>
      <c r="I44" s="10"/>
      <c r="J44" s="80">
        <f>Table1413[[#This Row],[Gross]]-Table1413[[#This Row],[Tare]]</f>
        <v>0</v>
      </c>
      <c r="K44" s="11"/>
      <c r="L44" s="82"/>
    </row>
    <row r="45" spans="1:13" x14ac:dyDescent="0.2">
      <c r="A45" s="9"/>
      <c r="B45" s="83"/>
      <c r="C45" s="83"/>
      <c r="D45" s="83"/>
      <c r="E45" s="83"/>
      <c r="F45" s="83"/>
      <c r="G45" s="83"/>
      <c r="H45" s="10"/>
      <c r="I45" s="10"/>
      <c r="J45" s="80">
        <f>Table1413[[#This Row],[Gross]]-Table1413[[#This Row],[Tare]]</f>
        <v>0</v>
      </c>
      <c r="K45" s="11"/>
      <c r="L45" s="82"/>
    </row>
    <row r="46" spans="1:13" x14ac:dyDescent="0.2">
      <c r="A46" s="9"/>
      <c r="B46" s="83"/>
      <c r="C46" s="83"/>
      <c r="D46" s="83"/>
      <c r="E46" s="83"/>
      <c r="F46" s="83"/>
      <c r="G46" s="83"/>
      <c r="H46" s="10"/>
      <c r="I46" s="10"/>
      <c r="J46" s="80">
        <f>Table1413[[#This Row],[Gross]]-Table1413[[#This Row],[Tare]]</f>
        <v>0</v>
      </c>
      <c r="K46" s="11"/>
      <c r="L46" s="82"/>
    </row>
    <row r="47" spans="1:13" x14ac:dyDescent="0.2">
      <c r="A47" s="9"/>
      <c r="B47" s="83"/>
      <c r="C47" s="83"/>
      <c r="D47" s="83"/>
      <c r="E47" s="83"/>
      <c r="F47" s="83"/>
      <c r="G47" s="83"/>
      <c r="H47" s="84"/>
      <c r="I47" s="84"/>
      <c r="J47" s="80">
        <f>Table1413[[#This Row],[Gross]]-Table1413[[#This Row],[Tare]]</f>
        <v>0</v>
      </c>
      <c r="K47" s="11"/>
      <c r="L47" s="82"/>
    </row>
    <row r="48" spans="1:13" x14ac:dyDescent="0.2">
      <c r="A48" s="9"/>
      <c r="B48" s="83"/>
      <c r="C48" s="83"/>
      <c r="D48" s="83"/>
      <c r="E48" s="83"/>
      <c r="F48" s="83"/>
      <c r="G48" s="83"/>
      <c r="H48" s="10"/>
      <c r="I48" s="10"/>
      <c r="J48" s="80">
        <f>Table1413[[#This Row],[Gross]]-Table1413[[#This Row],[Tare]]</f>
        <v>0</v>
      </c>
      <c r="K48" s="11"/>
      <c r="L48" s="82"/>
    </row>
    <row r="49" spans="1:13" x14ac:dyDescent="0.2">
      <c r="A49" s="9"/>
      <c r="B49" s="83"/>
      <c r="C49" s="83"/>
      <c r="D49" s="83"/>
      <c r="E49" s="83"/>
      <c r="F49" s="83"/>
      <c r="G49" s="83"/>
      <c r="H49" s="10"/>
      <c r="I49" s="10"/>
      <c r="J49" s="80">
        <f>Table1413[[#This Row],[Gross]]-Table1413[[#This Row],[Tare]]</f>
        <v>0</v>
      </c>
      <c r="K49" s="11"/>
      <c r="L49" s="82"/>
    </row>
    <row r="50" spans="1:13" x14ac:dyDescent="0.2">
      <c r="A50" s="9"/>
      <c r="B50" s="83"/>
      <c r="C50" s="83"/>
      <c r="D50" s="83"/>
      <c r="E50" s="83"/>
      <c r="F50" s="83"/>
      <c r="G50" s="83"/>
      <c r="H50" s="10"/>
      <c r="I50" s="10"/>
      <c r="J50" s="80">
        <f>Table1413[[#This Row],[Gross]]-Table1413[[#This Row],[Tare]]</f>
        <v>0</v>
      </c>
      <c r="K50" s="10"/>
      <c r="L50" s="82"/>
    </row>
    <row r="51" spans="1:13" x14ac:dyDescent="0.2">
      <c r="A51" s="9"/>
      <c r="B51" s="83"/>
      <c r="C51" s="83"/>
      <c r="D51" s="83"/>
      <c r="E51" s="83"/>
      <c r="F51" s="83"/>
      <c r="G51" s="83"/>
      <c r="H51" s="10"/>
      <c r="I51" s="10"/>
      <c r="J51" s="80">
        <f>Table1413[[#This Row],[Gross]]-Table1413[[#This Row],[Tare]]</f>
        <v>0</v>
      </c>
      <c r="K51" s="11"/>
      <c r="L51" s="82"/>
    </row>
    <row r="52" spans="1:13" x14ac:dyDescent="0.2">
      <c r="A52" s="9"/>
      <c r="B52" s="83"/>
      <c r="C52" s="83"/>
      <c r="D52" s="83"/>
      <c r="E52" s="83"/>
      <c r="F52" s="83"/>
      <c r="G52" s="83"/>
      <c r="H52" s="10"/>
      <c r="I52" s="10"/>
      <c r="J52" s="80">
        <f>Table1413[[#This Row],[Gross]]-Table1413[[#This Row],[Tare]]</f>
        <v>0</v>
      </c>
      <c r="K52" s="11"/>
      <c r="L52" s="82"/>
      <c r="M52" s="6" t="s">
        <v>47</v>
      </c>
    </row>
    <row r="53" spans="1:13" x14ac:dyDescent="0.2">
      <c r="A53" s="9"/>
      <c r="B53" s="83"/>
      <c r="C53" s="83"/>
      <c r="D53" s="83"/>
      <c r="E53" s="83"/>
      <c r="F53" s="83"/>
      <c r="G53" s="83"/>
      <c r="H53" s="10"/>
      <c r="I53" s="10"/>
      <c r="J53" s="80">
        <f>Table1413[[#This Row],[Gross]]-Table1413[[#This Row],[Tare]]</f>
        <v>0</v>
      </c>
      <c r="K53" s="11"/>
      <c r="L53" s="82"/>
    </row>
    <row r="54" spans="1:13" x14ac:dyDescent="0.2">
      <c r="A54" s="9"/>
      <c r="B54" s="83"/>
      <c r="C54" s="83"/>
      <c r="D54" s="83"/>
      <c r="E54" s="83"/>
      <c r="F54" s="83"/>
      <c r="G54" s="83"/>
      <c r="H54" s="10"/>
      <c r="I54" s="10"/>
      <c r="J54" s="80">
        <f>Table1413[[#This Row],[Gross]]-Table1413[[#This Row],[Tare]]</f>
        <v>0</v>
      </c>
      <c r="K54" s="11"/>
      <c r="L54" s="82"/>
    </row>
    <row r="55" spans="1:13" x14ac:dyDescent="0.2">
      <c r="A55" s="9"/>
      <c r="B55" s="83"/>
      <c r="C55" s="83"/>
      <c r="D55" s="83"/>
      <c r="E55" s="83"/>
      <c r="F55" s="83"/>
      <c r="G55" s="83"/>
      <c r="H55" s="10"/>
      <c r="I55" s="10"/>
      <c r="J55" s="80">
        <f>Table1413[[#This Row],[Gross]]-Table1413[[#This Row],[Tare]]</f>
        <v>0</v>
      </c>
      <c r="K55" s="11"/>
      <c r="L55" s="82"/>
    </row>
    <row r="56" spans="1:13" x14ac:dyDescent="0.2">
      <c r="A56" s="9"/>
      <c r="B56" s="83"/>
      <c r="C56" s="83"/>
      <c r="D56" s="83"/>
      <c r="E56" s="83"/>
      <c r="F56" s="83"/>
      <c r="G56" s="83"/>
      <c r="H56" s="10"/>
      <c r="I56" s="10"/>
      <c r="J56" s="80">
        <f>Table1413[[#This Row],[Gross]]-Table1413[[#This Row],[Tare]]</f>
        <v>0</v>
      </c>
      <c r="K56" s="11"/>
      <c r="L56" s="82"/>
    </row>
    <row r="57" spans="1:13" x14ac:dyDescent="0.2">
      <c r="A57" s="9"/>
      <c r="B57" s="83"/>
      <c r="C57" s="83"/>
      <c r="D57" s="83"/>
      <c r="E57" s="83"/>
      <c r="F57" s="83"/>
      <c r="G57" s="83"/>
      <c r="H57" s="10"/>
      <c r="I57" s="10"/>
      <c r="J57" s="80">
        <f>Table1413[[#This Row],[Gross]]-Table1413[[#This Row],[Tare]]</f>
        <v>0</v>
      </c>
      <c r="K57" s="11"/>
      <c r="L57" s="82"/>
    </row>
    <row r="58" spans="1:13" x14ac:dyDescent="0.2">
      <c r="A58" s="9"/>
      <c r="B58" s="83"/>
      <c r="C58" s="83"/>
      <c r="D58" s="83"/>
      <c r="E58" s="83"/>
      <c r="F58" s="83"/>
      <c r="G58" s="83"/>
      <c r="H58" s="10"/>
      <c r="I58" s="10"/>
      <c r="J58" s="80">
        <f>Table1413[[#This Row],[Gross]]-Table1413[[#This Row],[Tare]]</f>
        <v>0</v>
      </c>
      <c r="K58" s="11"/>
      <c r="L58" s="82"/>
    </row>
    <row r="59" spans="1:13" x14ac:dyDescent="0.2">
      <c r="A59" s="9"/>
      <c r="B59" s="83"/>
      <c r="C59" s="83"/>
      <c r="D59" s="83"/>
      <c r="E59" s="83"/>
      <c r="F59" s="83"/>
      <c r="G59" s="83"/>
      <c r="H59" s="10"/>
      <c r="I59" s="10"/>
      <c r="J59" s="80">
        <f>Table1413[[#This Row],[Gross]]-Table1413[[#This Row],[Tare]]</f>
        <v>0</v>
      </c>
      <c r="K59" s="11"/>
      <c r="L59" s="82"/>
    </row>
    <row r="60" spans="1:13" ht="15" thickBot="1" x14ac:dyDescent="0.25">
      <c r="A60" s="12"/>
      <c r="B60" s="85"/>
      <c r="C60" s="85"/>
      <c r="D60" s="85"/>
      <c r="E60" s="85"/>
      <c r="F60" s="85"/>
      <c r="G60" s="85"/>
      <c r="H60" s="14"/>
      <c r="I60" s="14"/>
      <c r="J60" s="80">
        <f>Table1413[[#This Row],[Gross]]-Table1413[[#This Row],[Tare]]</f>
        <v>0</v>
      </c>
      <c r="K60" s="15"/>
      <c r="L60" s="82"/>
    </row>
    <row r="61" spans="1:13" ht="15.75" thickBot="1" x14ac:dyDescent="0.3">
      <c r="I61" s="86" t="s">
        <v>137</v>
      </c>
      <c r="J61" s="87">
        <f>SUM(J32:J60)</f>
        <v>0</v>
      </c>
      <c r="K61" s="88">
        <f>SUM(K32:K60)</f>
        <v>0</v>
      </c>
      <c r="L61" s="82"/>
    </row>
  </sheetData>
  <mergeCells count="1">
    <mergeCell ref="A1:L1"/>
  </mergeCells>
  <pageMargins left="0.7" right="0.7" top="0.75" bottom="0.75" header="0.3" footer="0.3"/>
  <pageSetup scale="29" orientation="portrait" horizontalDpi="1200" verticalDpi="1200" r:id="rId1"/>
  <colBreaks count="1" manualBreakCount="1">
    <brk id="22" max="60" man="1"/>
  </colBreaks>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J73"/>
  <sheetViews>
    <sheetView view="pageBreakPreview" zoomScaleNormal="100" zoomScaleSheetLayoutView="100" workbookViewId="0">
      <pane xSplit="14" ySplit="1" topLeftCell="P2" activePane="bottomRight" state="frozen"/>
      <selection pane="topRight" activeCell="P1" sqref="P1"/>
      <selection pane="bottomLeft" activeCell="A27" sqref="A27"/>
      <selection pane="bottomRight" activeCell="P10" sqref="P10"/>
    </sheetView>
  </sheetViews>
  <sheetFormatPr defaultColWidth="9.42578125" defaultRowHeight="15" x14ac:dyDescent="0.25"/>
  <cols>
    <col min="1" max="4" width="11.5703125" style="2" customWidth="1"/>
    <col min="5" max="5" width="12.140625" style="2" customWidth="1"/>
    <col min="6" max="6" width="24.5703125" style="2" bestFit="1" customWidth="1"/>
    <col min="7" max="7" width="27.85546875" style="2" customWidth="1"/>
    <col min="8" max="8" width="15" style="2" customWidth="1"/>
    <col min="9" max="9" width="15.42578125" style="2" bestFit="1" customWidth="1"/>
    <col min="10" max="10" width="18.5703125" style="2" bestFit="1" customWidth="1"/>
    <col min="11" max="16384" width="9.42578125" style="2"/>
  </cols>
  <sheetData>
    <row r="1" spans="1:10" s="92" customFormat="1" x14ac:dyDescent="0.25">
      <c r="A1" s="89" t="s">
        <v>33</v>
      </c>
      <c r="B1" s="90" t="s">
        <v>63</v>
      </c>
      <c r="C1" s="91" t="s">
        <v>50</v>
      </c>
      <c r="D1" s="91" t="s">
        <v>51</v>
      </c>
      <c r="E1" s="91" t="s">
        <v>52</v>
      </c>
      <c r="F1" s="91" t="s">
        <v>53</v>
      </c>
      <c r="G1" s="91" t="s">
        <v>54</v>
      </c>
      <c r="H1" s="91" t="s">
        <v>141</v>
      </c>
      <c r="I1" s="91" t="s">
        <v>142</v>
      </c>
      <c r="J1" s="91" t="s">
        <v>55</v>
      </c>
    </row>
    <row r="2" spans="1:10" x14ac:dyDescent="0.25">
      <c r="A2" s="93"/>
      <c r="B2" s="94"/>
      <c r="C2" s="69"/>
      <c r="D2" s="69"/>
      <c r="E2" s="69"/>
      <c r="F2" s="67"/>
      <c r="G2" s="68"/>
      <c r="H2" s="69"/>
      <c r="I2" s="69"/>
      <c r="J2" s="70"/>
    </row>
    <row r="3" spans="1:10" x14ac:dyDescent="0.25">
      <c r="A3" s="93"/>
      <c r="B3" s="94"/>
      <c r="C3" s="69"/>
      <c r="D3" s="69"/>
      <c r="E3" s="69"/>
      <c r="F3" s="67"/>
      <c r="G3" s="67"/>
      <c r="H3" s="69"/>
      <c r="I3" s="69"/>
      <c r="J3" s="67"/>
    </row>
    <row r="4" spans="1:10" x14ac:dyDescent="0.25">
      <c r="A4" s="93"/>
      <c r="B4" s="94"/>
      <c r="C4" s="69"/>
      <c r="D4" s="69"/>
      <c r="E4" s="69"/>
      <c r="F4" s="67"/>
      <c r="G4" s="67"/>
      <c r="H4" s="69"/>
      <c r="I4" s="69"/>
      <c r="J4" s="67"/>
    </row>
    <row r="5" spans="1:10" x14ac:dyDescent="0.25">
      <c r="A5" s="93"/>
      <c r="B5" s="94"/>
      <c r="C5" s="69"/>
      <c r="D5" s="69"/>
      <c r="E5" s="69"/>
      <c r="F5" s="67"/>
      <c r="G5" s="67"/>
      <c r="H5" s="69"/>
      <c r="I5" s="69"/>
      <c r="J5" s="67"/>
    </row>
    <row r="6" spans="1:10" x14ac:dyDescent="0.25">
      <c r="A6" s="93"/>
      <c r="B6" s="94"/>
      <c r="C6" s="69"/>
      <c r="D6" s="69"/>
      <c r="E6" s="69"/>
      <c r="F6" s="67"/>
      <c r="G6" s="67"/>
      <c r="H6" s="69"/>
      <c r="I6" s="69"/>
      <c r="J6" s="67"/>
    </row>
    <row r="7" spans="1:10" x14ac:dyDescent="0.25">
      <c r="A7" s="93"/>
      <c r="B7" s="94"/>
      <c r="C7" s="69"/>
      <c r="D7" s="69"/>
      <c r="E7" s="69"/>
      <c r="F7" s="67"/>
      <c r="G7" s="67"/>
      <c r="H7" s="69"/>
      <c r="I7" s="69"/>
      <c r="J7" s="67"/>
    </row>
    <row r="8" spans="1:10" x14ac:dyDescent="0.25">
      <c r="A8" s="93"/>
      <c r="B8" s="94"/>
      <c r="C8" s="69"/>
      <c r="D8" s="69"/>
      <c r="E8" s="69"/>
      <c r="F8" s="67"/>
      <c r="G8" s="67"/>
      <c r="H8" s="69"/>
      <c r="I8" s="69"/>
      <c r="J8" s="67"/>
    </row>
    <row r="9" spans="1:10" x14ac:dyDescent="0.25">
      <c r="A9" s="93"/>
      <c r="B9" s="94"/>
      <c r="C9" s="69"/>
      <c r="D9" s="69"/>
      <c r="E9" s="69"/>
      <c r="F9" s="67"/>
      <c r="G9" s="67"/>
      <c r="H9" s="69"/>
      <c r="I9" s="69"/>
      <c r="J9" s="67"/>
    </row>
    <row r="10" spans="1:10" x14ac:dyDescent="0.25">
      <c r="A10" s="93"/>
      <c r="B10" s="94"/>
      <c r="C10" s="69"/>
      <c r="D10" s="69"/>
      <c r="E10" s="69"/>
      <c r="F10" s="67"/>
      <c r="G10" s="67"/>
      <c r="H10" s="69"/>
      <c r="I10" s="69"/>
      <c r="J10" s="67"/>
    </row>
    <row r="11" spans="1:10" x14ac:dyDescent="0.25">
      <c r="A11" s="93"/>
      <c r="B11" s="94"/>
      <c r="C11" s="69"/>
      <c r="D11" s="69"/>
      <c r="E11" s="69"/>
      <c r="F11" s="67"/>
      <c r="G11" s="67"/>
      <c r="H11" s="69"/>
      <c r="I11" s="69"/>
      <c r="J11" s="67"/>
    </row>
    <row r="12" spans="1:10" x14ac:dyDescent="0.25">
      <c r="A12" s="93"/>
      <c r="B12" s="94"/>
      <c r="C12" s="69"/>
      <c r="D12" s="69"/>
      <c r="E12" s="69"/>
      <c r="F12" s="67"/>
      <c r="G12" s="67"/>
      <c r="H12" s="69"/>
      <c r="I12" s="69"/>
      <c r="J12" s="67"/>
    </row>
    <row r="13" spans="1:10" x14ac:dyDescent="0.25">
      <c r="A13" s="93"/>
      <c r="B13" s="94"/>
      <c r="C13" s="69"/>
      <c r="D13" s="69"/>
      <c r="E13" s="69"/>
      <c r="F13" s="67"/>
      <c r="G13" s="67"/>
      <c r="H13" s="69"/>
      <c r="I13" s="69"/>
      <c r="J13" s="67"/>
    </row>
    <row r="14" spans="1:10" x14ac:dyDescent="0.25">
      <c r="A14" s="93"/>
      <c r="B14" s="94"/>
      <c r="C14" s="69"/>
      <c r="D14" s="69"/>
      <c r="E14" s="69"/>
      <c r="F14" s="67"/>
      <c r="G14" s="67"/>
      <c r="H14" s="69"/>
      <c r="I14" s="69"/>
      <c r="J14" s="67"/>
    </row>
    <row r="15" spans="1:10" x14ac:dyDescent="0.25">
      <c r="A15" s="93"/>
      <c r="B15" s="94"/>
      <c r="C15" s="69"/>
      <c r="D15" s="69"/>
      <c r="E15" s="69"/>
      <c r="F15" s="67"/>
      <c r="G15" s="67"/>
      <c r="H15" s="69"/>
      <c r="I15" s="69"/>
      <c r="J15" s="67"/>
    </row>
    <row r="16" spans="1:10" x14ac:dyDescent="0.25">
      <c r="A16" s="93"/>
      <c r="B16" s="94"/>
      <c r="C16" s="69"/>
      <c r="D16" s="69"/>
      <c r="E16" s="69"/>
      <c r="F16" s="67"/>
      <c r="G16" s="67"/>
      <c r="H16" s="69"/>
      <c r="I16" s="69"/>
      <c r="J16" s="67"/>
    </row>
    <row r="17" spans="1:10" x14ac:dyDescent="0.25">
      <c r="A17" s="93"/>
      <c r="B17" s="94"/>
      <c r="C17" s="69"/>
      <c r="D17" s="69"/>
      <c r="E17" s="69"/>
      <c r="F17" s="67"/>
      <c r="G17" s="67"/>
      <c r="H17" s="69"/>
      <c r="I17" s="69"/>
      <c r="J17" s="67"/>
    </row>
    <row r="18" spans="1:10" x14ac:dyDescent="0.25">
      <c r="A18" s="93"/>
      <c r="B18" s="94"/>
      <c r="C18" s="69"/>
      <c r="D18" s="69"/>
      <c r="E18" s="69"/>
      <c r="F18" s="67"/>
      <c r="G18" s="67"/>
      <c r="H18" s="69"/>
      <c r="I18" s="69"/>
      <c r="J18" s="67"/>
    </row>
    <row r="19" spans="1:10" x14ac:dyDescent="0.25">
      <c r="A19" s="93"/>
      <c r="B19" s="94"/>
      <c r="C19" s="69"/>
      <c r="D19" s="69"/>
      <c r="E19" s="69"/>
      <c r="F19" s="67"/>
      <c r="G19" s="67"/>
      <c r="H19" s="69"/>
      <c r="I19" s="69"/>
      <c r="J19" s="67"/>
    </row>
    <row r="20" spans="1:10" x14ac:dyDescent="0.25">
      <c r="A20" s="93"/>
      <c r="B20" s="94"/>
      <c r="C20" s="69"/>
      <c r="D20" s="69"/>
      <c r="E20" s="69"/>
      <c r="F20" s="67"/>
      <c r="G20" s="67"/>
      <c r="H20" s="69"/>
      <c r="I20" s="69"/>
      <c r="J20" s="67"/>
    </row>
    <row r="21" spans="1:10" x14ac:dyDescent="0.25">
      <c r="A21" s="93"/>
      <c r="B21" s="94"/>
      <c r="C21" s="69"/>
      <c r="D21" s="69"/>
      <c r="E21" s="69"/>
      <c r="F21" s="67"/>
      <c r="G21" s="67"/>
      <c r="H21" s="69"/>
      <c r="I21" s="69"/>
      <c r="J21" s="67"/>
    </row>
    <row r="22" spans="1:10" x14ac:dyDescent="0.25">
      <c r="A22" s="93"/>
      <c r="B22" s="94"/>
      <c r="C22" s="69"/>
      <c r="D22" s="69"/>
      <c r="E22" s="69"/>
      <c r="F22" s="67"/>
      <c r="G22" s="67"/>
      <c r="H22" s="69"/>
      <c r="I22" s="69"/>
      <c r="J22" s="67"/>
    </row>
    <row r="23" spans="1:10" x14ac:dyDescent="0.25">
      <c r="A23" s="93"/>
      <c r="B23" s="94"/>
      <c r="C23" s="69"/>
      <c r="D23" s="69"/>
      <c r="E23" s="69"/>
      <c r="F23" s="67"/>
      <c r="G23" s="67"/>
      <c r="H23" s="69"/>
      <c r="I23" s="69"/>
      <c r="J23" s="67"/>
    </row>
    <row r="24" spans="1:10" x14ac:dyDescent="0.25">
      <c r="A24" s="93"/>
      <c r="B24" s="94"/>
      <c r="C24" s="69"/>
      <c r="D24" s="69"/>
      <c r="E24" s="69"/>
      <c r="F24" s="67"/>
      <c r="G24" s="67"/>
      <c r="H24" s="69"/>
      <c r="I24" s="69"/>
      <c r="J24" s="67"/>
    </row>
    <row r="25" spans="1:10" x14ac:dyDescent="0.25">
      <c r="A25" s="93"/>
      <c r="B25" s="94"/>
      <c r="C25" s="69"/>
      <c r="D25" s="69"/>
      <c r="E25" s="69"/>
      <c r="F25" s="67"/>
      <c r="G25" s="67"/>
      <c r="H25" s="69"/>
      <c r="I25" s="69"/>
      <c r="J25" s="67"/>
    </row>
    <row r="26" spans="1:10" x14ac:dyDescent="0.25">
      <c r="A26" s="93"/>
      <c r="B26" s="94"/>
      <c r="C26" s="69"/>
      <c r="D26" s="69"/>
      <c r="E26" s="69"/>
      <c r="F26" s="67"/>
      <c r="G26" s="67"/>
      <c r="H26" s="69"/>
      <c r="I26" s="69"/>
      <c r="J26" s="67"/>
    </row>
    <row r="27" spans="1:10" x14ac:dyDescent="0.25">
      <c r="A27" s="93"/>
      <c r="B27" s="94"/>
      <c r="C27" s="69"/>
      <c r="D27" s="69"/>
      <c r="E27" s="69"/>
      <c r="F27" s="67"/>
      <c r="G27" s="67"/>
      <c r="H27" s="69"/>
      <c r="I27" s="69"/>
      <c r="J27" s="67"/>
    </row>
    <row r="28" spans="1:10" x14ac:dyDescent="0.25">
      <c r="A28" s="93"/>
      <c r="B28" s="94"/>
      <c r="C28" s="69"/>
      <c r="D28" s="69"/>
      <c r="E28" s="69"/>
      <c r="F28" s="67"/>
      <c r="G28" s="67"/>
      <c r="H28" s="69"/>
      <c r="I28" s="69"/>
      <c r="J28" s="67"/>
    </row>
    <row r="29" spans="1:10" x14ac:dyDescent="0.25">
      <c r="A29" s="93"/>
      <c r="B29" s="94"/>
      <c r="C29" s="69"/>
      <c r="D29" s="69"/>
      <c r="E29" s="69"/>
      <c r="F29" s="67"/>
      <c r="G29" s="67"/>
      <c r="H29" s="69"/>
      <c r="I29" s="69"/>
      <c r="J29" s="67"/>
    </row>
    <row r="30" spans="1:10" x14ac:dyDescent="0.25">
      <c r="A30" s="93"/>
      <c r="B30" s="94"/>
      <c r="C30" s="69"/>
      <c r="D30" s="69"/>
      <c r="E30" s="69"/>
      <c r="F30" s="67"/>
      <c r="G30" s="67"/>
      <c r="H30" s="69"/>
      <c r="I30" s="69"/>
      <c r="J30" s="67"/>
    </row>
    <row r="31" spans="1:10" x14ac:dyDescent="0.25">
      <c r="A31" s="93"/>
      <c r="B31" s="94"/>
      <c r="C31" s="69"/>
      <c r="D31" s="69"/>
      <c r="E31" s="69"/>
      <c r="F31" s="67"/>
      <c r="G31" s="67"/>
      <c r="H31" s="69"/>
      <c r="I31" s="69"/>
      <c r="J31" s="67"/>
    </row>
    <row r="32" spans="1:10" x14ac:dyDescent="0.25">
      <c r="A32" s="93"/>
      <c r="B32" s="94"/>
      <c r="C32" s="69"/>
      <c r="D32" s="69"/>
      <c r="E32" s="69"/>
      <c r="F32" s="67"/>
      <c r="G32" s="67"/>
      <c r="H32" s="69"/>
      <c r="I32" s="69"/>
      <c r="J32" s="67"/>
    </row>
    <row r="33" spans="1:10" x14ac:dyDescent="0.25">
      <c r="A33" s="93"/>
      <c r="B33" s="94"/>
      <c r="C33" s="69"/>
      <c r="D33" s="69"/>
      <c r="E33" s="69"/>
      <c r="F33" s="67"/>
      <c r="G33" s="67"/>
      <c r="H33" s="69"/>
      <c r="I33" s="69"/>
      <c r="J33" s="67"/>
    </row>
    <row r="34" spans="1:10" x14ac:dyDescent="0.25">
      <c r="A34" s="93"/>
      <c r="B34" s="94"/>
      <c r="C34" s="69"/>
      <c r="D34" s="69"/>
      <c r="E34" s="69"/>
      <c r="F34" s="67"/>
      <c r="G34" s="67"/>
      <c r="H34" s="69"/>
      <c r="I34" s="69"/>
      <c r="J34" s="67"/>
    </row>
    <row r="35" spans="1:10" x14ac:dyDescent="0.25">
      <c r="A35" s="93"/>
      <c r="B35" s="94"/>
      <c r="C35" s="69"/>
      <c r="D35" s="69"/>
      <c r="E35" s="69"/>
      <c r="F35" s="67"/>
      <c r="G35" s="67"/>
      <c r="H35" s="69"/>
      <c r="I35" s="69"/>
      <c r="J35" s="67"/>
    </row>
    <row r="36" spans="1:10" x14ac:dyDescent="0.25">
      <c r="A36" s="93"/>
      <c r="B36" s="94"/>
      <c r="C36" s="69"/>
      <c r="D36" s="69"/>
      <c r="E36" s="69"/>
      <c r="F36" s="67"/>
      <c r="G36" s="67"/>
      <c r="H36" s="69"/>
      <c r="I36" s="69"/>
      <c r="J36" s="67"/>
    </row>
    <row r="37" spans="1:10" x14ac:dyDescent="0.25">
      <c r="A37" s="93"/>
      <c r="B37" s="94"/>
      <c r="C37" s="69"/>
      <c r="D37" s="69"/>
      <c r="E37" s="69"/>
      <c r="F37" s="67"/>
      <c r="G37" s="67"/>
      <c r="H37" s="69"/>
      <c r="I37" s="69"/>
      <c r="J37" s="67"/>
    </row>
    <row r="38" spans="1:10" x14ac:dyDescent="0.25">
      <c r="A38" s="93"/>
      <c r="B38" s="94"/>
      <c r="C38" s="69"/>
      <c r="D38" s="69"/>
      <c r="E38" s="69"/>
      <c r="F38" s="67"/>
      <c r="G38" s="67"/>
      <c r="H38" s="69"/>
      <c r="I38" s="69"/>
      <c r="J38" s="67"/>
    </row>
    <row r="39" spans="1:10" x14ac:dyDescent="0.25">
      <c r="A39" s="93"/>
      <c r="B39" s="94"/>
      <c r="C39" s="69"/>
      <c r="D39" s="69"/>
      <c r="E39" s="69"/>
      <c r="F39" s="67"/>
      <c r="G39" s="67"/>
      <c r="H39" s="69"/>
      <c r="I39" s="69"/>
      <c r="J39" s="67"/>
    </row>
    <row r="40" spans="1:10" x14ac:dyDescent="0.25">
      <c r="A40" s="93"/>
      <c r="B40" s="94"/>
      <c r="C40" s="69"/>
      <c r="D40" s="69"/>
      <c r="E40" s="69"/>
      <c r="F40" s="67"/>
      <c r="G40" s="67"/>
      <c r="H40" s="69"/>
      <c r="I40" s="69"/>
      <c r="J40" s="67"/>
    </row>
    <row r="41" spans="1:10" x14ac:dyDescent="0.25">
      <c r="A41" s="93"/>
      <c r="B41" s="94"/>
      <c r="C41" s="69"/>
      <c r="D41" s="69"/>
      <c r="E41" s="69"/>
      <c r="F41" s="67"/>
      <c r="G41" s="67"/>
      <c r="H41" s="69"/>
      <c r="I41" s="69"/>
      <c r="J41" s="67"/>
    </row>
    <row r="42" spans="1:10" x14ac:dyDescent="0.25">
      <c r="A42" s="93"/>
      <c r="B42" s="94"/>
      <c r="C42" s="69"/>
      <c r="D42" s="69"/>
      <c r="E42" s="69"/>
      <c r="F42" s="67"/>
      <c r="G42" s="67"/>
      <c r="H42" s="69"/>
      <c r="I42" s="69"/>
      <c r="J42" s="67"/>
    </row>
    <row r="43" spans="1:10" x14ac:dyDescent="0.25">
      <c r="A43" s="93"/>
      <c r="B43" s="94"/>
      <c r="C43" s="69"/>
      <c r="D43" s="69"/>
      <c r="E43" s="69"/>
      <c r="F43" s="67"/>
      <c r="G43" s="67"/>
      <c r="H43" s="69"/>
      <c r="I43" s="69"/>
      <c r="J43" s="67"/>
    </row>
    <row r="44" spans="1:10" x14ac:dyDescent="0.25">
      <c r="A44" s="93"/>
      <c r="B44" s="94"/>
      <c r="C44" s="69"/>
      <c r="D44" s="69"/>
      <c r="E44" s="69"/>
      <c r="F44" s="67"/>
      <c r="G44" s="67"/>
      <c r="H44" s="69"/>
      <c r="I44" s="69"/>
      <c r="J44" s="67"/>
    </row>
    <row r="45" spans="1:10" x14ac:dyDescent="0.25">
      <c r="A45" s="93"/>
      <c r="B45" s="94"/>
      <c r="C45" s="69"/>
      <c r="D45" s="69"/>
      <c r="E45" s="69"/>
      <c r="F45" s="67"/>
      <c r="G45" s="67"/>
      <c r="H45" s="69"/>
      <c r="I45" s="69"/>
      <c r="J45" s="67"/>
    </row>
    <row r="46" spans="1:10" x14ac:dyDescent="0.25">
      <c r="A46" s="93"/>
      <c r="B46" s="94"/>
      <c r="C46" s="69"/>
      <c r="D46" s="69"/>
      <c r="E46" s="69"/>
      <c r="F46" s="67"/>
      <c r="G46" s="67"/>
      <c r="H46" s="69"/>
      <c r="I46" s="69"/>
      <c r="J46" s="67"/>
    </row>
    <row r="47" spans="1:10" x14ac:dyDescent="0.25">
      <c r="A47" s="93"/>
      <c r="B47" s="94"/>
      <c r="C47" s="69"/>
      <c r="D47" s="69"/>
      <c r="E47" s="69"/>
      <c r="F47" s="67"/>
      <c r="G47" s="67"/>
      <c r="H47" s="69"/>
      <c r="I47" s="69"/>
      <c r="J47" s="67"/>
    </row>
    <row r="48" spans="1:10" x14ac:dyDescent="0.25">
      <c r="A48" s="93"/>
      <c r="B48" s="94"/>
      <c r="C48" s="69"/>
      <c r="D48" s="69"/>
      <c r="E48" s="69"/>
      <c r="F48" s="67"/>
      <c r="G48" s="67"/>
      <c r="H48" s="69"/>
      <c r="I48" s="69"/>
      <c r="J48" s="67"/>
    </row>
    <row r="49" spans="1:10" x14ac:dyDescent="0.25">
      <c r="A49" s="93"/>
      <c r="B49" s="94"/>
      <c r="C49" s="69"/>
      <c r="D49" s="69"/>
      <c r="E49" s="69"/>
      <c r="F49" s="67"/>
      <c r="G49" s="67"/>
      <c r="H49" s="69"/>
      <c r="I49" s="69"/>
      <c r="J49" s="67"/>
    </row>
    <row r="50" spans="1:10" x14ac:dyDescent="0.25">
      <c r="A50" s="93"/>
      <c r="B50" s="94"/>
      <c r="C50" s="69"/>
      <c r="D50" s="69"/>
      <c r="E50" s="69"/>
      <c r="F50" s="67"/>
      <c r="G50" s="67"/>
      <c r="H50" s="69"/>
      <c r="I50" s="69"/>
      <c r="J50" s="67"/>
    </row>
    <row r="51" spans="1:10" x14ac:dyDescent="0.25">
      <c r="A51" s="93"/>
      <c r="B51" s="94"/>
      <c r="C51" s="69"/>
      <c r="D51" s="69"/>
      <c r="E51" s="69"/>
      <c r="F51" s="67"/>
      <c r="G51" s="67"/>
      <c r="H51" s="69"/>
      <c r="I51" s="69"/>
      <c r="J51" s="67"/>
    </row>
    <row r="52" spans="1:10" x14ac:dyDescent="0.25">
      <c r="A52" s="93"/>
      <c r="B52" s="94"/>
      <c r="C52" s="69"/>
      <c r="D52" s="69"/>
      <c r="E52" s="69"/>
      <c r="F52" s="67"/>
      <c r="G52" s="67"/>
      <c r="H52" s="69"/>
      <c r="I52" s="69"/>
      <c r="J52" s="67"/>
    </row>
    <row r="53" spans="1:10" x14ac:dyDescent="0.25">
      <c r="A53" s="93"/>
      <c r="B53" s="94"/>
      <c r="C53" s="69"/>
      <c r="D53" s="69"/>
      <c r="E53" s="69"/>
      <c r="F53" s="67"/>
      <c r="G53" s="67"/>
      <c r="H53" s="69"/>
      <c r="I53" s="69"/>
      <c r="J53" s="67"/>
    </row>
    <row r="54" spans="1:10" x14ac:dyDescent="0.25">
      <c r="A54" s="93"/>
      <c r="B54" s="94"/>
      <c r="C54" s="69"/>
      <c r="D54" s="69"/>
      <c r="E54" s="69"/>
      <c r="F54" s="67"/>
      <c r="G54" s="67"/>
      <c r="H54" s="69"/>
      <c r="I54" s="69"/>
      <c r="J54" s="67"/>
    </row>
    <row r="55" spans="1:10" x14ac:dyDescent="0.25">
      <c r="A55" s="93"/>
      <c r="B55" s="94"/>
      <c r="C55" s="69"/>
      <c r="D55" s="69"/>
      <c r="E55" s="69"/>
      <c r="F55" s="67"/>
      <c r="G55" s="67"/>
      <c r="H55" s="69"/>
      <c r="I55" s="69"/>
      <c r="J55" s="67"/>
    </row>
    <row r="56" spans="1:10" x14ac:dyDescent="0.25">
      <c r="A56" s="93"/>
      <c r="B56" s="94"/>
      <c r="C56" s="69"/>
      <c r="D56" s="69"/>
      <c r="E56" s="69"/>
      <c r="F56" s="67"/>
      <c r="G56" s="67"/>
      <c r="H56" s="69"/>
      <c r="I56" s="69"/>
      <c r="J56" s="67"/>
    </row>
    <row r="57" spans="1:10" x14ac:dyDescent="0.25">
      <c r="A57" s="93"/>
      <c r="B57" s="94"/>
      <c r="C57" s="69"/>
      <c r="D57" s="69"/>
      <c r="E57" s="69"/>
      <c r="F57" s="67"/>
      <c r="G57" s="67"/>
      <c r="H57" s="69"/>
      <c r="I57" s="69"/>
      <c r="J57" s="67"/>
    </row>
    <row r="58" spans="1:10" x14ac:dyDescent="0.25">
      <c r="A58" s="93"/>
      <c r="B58" s="94"/>
      <c r="C58" s="69"/>
      <c r="D58" s="69"/>
      <c r="E58" s="69"/>
      <c r="F58" s="67"/>
      <c r="G58" s="67"/>
      <c r="H58" s="69"/>
      <c r="I58" s="69"/>
      <c r="J58" s="67"/>
    </row>
    <row r="59" spans="1:10" x14ac:dyDescent="0.25">
      <c r="A59" s="93"/>
      <c r="B59" s="94"/>
      <c r="C59" s="69"/>
      <c r="D59" s="69"/>
      <c r="E59" s="69"/>
      <c r="F59" s="67"/>
      <c r="G59" s="67"/>
      <c r="H59" s="69"/>
      <c r="I59" s="69"/>
      <c r="J59" s="67"/>
    </row>
    <row r="60" spans="1:10" x14ac:dyDescent="0.25">
      <c r="A60" s="93"/>
      <c r="B60" s="94"/>
      <c r="C60" s="69"/>
      <c r="D60" s="69"/>
      <c r="E60" s="69"/>
      <c r="F60" s="67"/>
      <c r="G60" s="67"/>
      <c r="H60" s="69"/>
      <c r="I60" s="69"/>
      <c r="J60" s="67"/>
    </row>
    <row r="61" spans="1:10" x14ac:dyDescent="0.25">
      <c r="A61" s="93"/>
      <c r="B61" s="94"/>
      <c r="C61" s="69"/>
      <c r="D61" s="69"/>
      <c r="E61" s="69"/>
      <c r="F61" s="67"/>
      <c r="G61" s="67"/>
      <c r="H61" s="69"/>
      <c r="I61" s="69"/>
      <c r="J61" s="67"/>
    </row>
    <row r="62" spans="1:10" x14ac:dyDescent="0.25">
      <c r="A62" s="93"/>
      <c r="B62" s="94"/>
      <c r="C62" s="69"/>
      <c r="D62" s="69"/>
      <c r="E62" s="69"/>
      <c r="F62" s="67"/>
      <c r="G62" s="67"/>
      <c r="H62" s="69"/>
      <c r="I62" s="69"/>
      <c r="J62" s="67"/>
    </row>
    <row r="63" spans="1:10" x14ac:dyDescent="0.25">
      <c r="A63" s="93"/>
      <c r="B63" s="94"/>
      <c r="C63" s="69"/>
      <c r="D63" s="69"/>
      <c r="E63" s="69"/>
      <c r="F63" s="67"/>
      <c r="G63" s="67"/>
      <c r="H63" s="69"/>
      <c r="I63" s="69"/>
      <c r="J63" s="67"/>
    </row>
    <row r="64" spans="1:10" x14ac:dyDescent="0.25">
      <c r="A64" s="93"/>
      <c r="B64" s="94"/>
      <c r="C64" s="69"/>
      <c r="D64" s="69"/>
      <c r="E64" s="69"/>
      <c r="F64" s="67"/>
      <c r="G64" s="67"/>
      <c r="H64" s="69"/>
      <c r="I64" s="69"/>
      <c r="J64" s="67"/>
    </row>
    <row r="65" spans="1:10" x14ac:dyDescent="0.25">
      <c r="A65" s="93"/>
      <c r="B65" s="94"/>
      <c r="C65" s="69"/>
      <c r="D65" s="69"/>
      <c r="E65" s="69"/>
      <c r="F65" s="67"/>
      <c r="G65" s="67"/>
      <c r="H65" s="69"/>
      <c r="I65" s="69"/>
      <c r="J65" s="67"/>
    </row>
    <row r="66" spans="1:10" x14ac:dyDescent="0.25">
      <c r="A66" s="93"/>
      <c r="B66" s="94"/>
      <c r="C66" s="69"/>
      <c r="D66" s="69"/>
      <c r="E66" s="69"/>
      <c r="F66" s="67"/>
      <c r="G66" s="67"/>
      <c r="H66" s="69"/>
      <c r="I66" s="69"/>
      <c r="J66" s="67"/>
    </row>
    <row r="67" spans="1:10" x14ac:dyDescent="0.25">
      <c r="A67" s="93"/>
      <c r="B67" s="94"/>
      <c r="C67" s="69"/>
      <c r="D67" s="69"/>
      <c r="E67" s="69"/>
      <c r="F67" s="67"/>
      <c r="G67" s="67"/>
      <c r="H67" s="69"/>
      <c r="I67" s="69"/>
      <c r="J67" s="67"/>
    </row>
    <row r="68" spans="1:10" x14ac:dyDescent="0.25">
      <c r="A68" s="93"/>
      <c r="B68" s="94"/>
      <c r="C68" s="69"/>
      <c r="D68" s="69"/>
      <c r="E68" s="69"/>
      <c r="F68" s="67"/>
      <c r="G68" s="67"/>
      <c r="H68" s="69"/>
      <c r="I68" s="69"/>
      <c r="J68" s="67"/>
    </row>
    <row r="69" spans="1:10" x14ac:dyDescent="0.25">
      <c r="A69" s="93"/>
      <c r="B69" s="94"/>
      <c r="C69" s="69"/>
      <c r="D69" s="69"/>
      <c r="E69" s="69"/>
      <c r="F69" s="67"/>
      <c r="G69" s="67"/>
      <c r="H69" s="69"/>
      <c r="I69" s="69"/>
      <c r="J69" s="67"/>
    </row>
    <row r="70" spans="1:10" x14ac:dyDescent="0.25">
      <c r="A70" s="93"/>
      <c r="B70" s="94"/>
      <c r="C70" s="69"/>
      <c r="D70" s="69"/>
      <c r="E70" s="69"/>
      <c r="F70" s="67"/>
      <c r="G70" s="67"/>
      <c r="H70" s="69"/>
      <c r="I70" s="69"/>
      <c r="J70" s="67"/>
    </row>
    <row r="71" spans="1:10" x14ac:dyDescent="0.25">
      <c r="A71" s="93"/>
      <c r="B71" s="94"/>
      <c r="C71" s="69"/>
      <c r="D71" s="69"/>
      <c r="E71" s="69"/>
      <c r="F71" s="67"/>
      <c r="G71" s="67"/>
      <c r="H71" s="69"/>
      <c r="I71" s="69"/>
      <c r="J71" s="67"/>
    </row>
    <row r="72" spans="1:10" x14ac:dyDescent="0.25">
      <c r="A72" s="93"/>
      <c r="B72" s="94"/>
      <c r="C72" s="69"/>
      <c r="D72" s="69"/>
      <c r="E72" s="69"/>
      <c r="F72" s="67"/>
      <c r="G72" s="67"/>
      <c r="H72" s="69"/>
      <c r="I72" s="69"/>
      <c r="J72" s="67"/>
    </row>
    <row r="73" spans="1:10" ht="15.75" thickBot="1" x14ac:dyDescent="0.3">
      <c r="A73" s="95"/>
      <c r="B73" s="96"/>
      <c r="C73" s="97"/>
      <c r="D73" s="97"/>
      <c r="E73" s="97"/>
      <c r="F73" s="98"/>
      <c r="G73" s="98"/>
      <c r="H73" s="97"/>
      <c r="I73" s="97"/>
      <c r="J73" s="98"/>
    </row>
  </sheetData>
  <pageMargins left="0.70866141732283472" right="0.70866141732283472" top="0.74803149606299213" bottom="0.74803149606299213" header="0.31496062992125984" footer="0.31496062992125984"/>
  <pageSetup scale="25" orientation="landscape" horizontalDpi="300" verticalDpi="300" r:id="rId1"/>
  <headerFooter>
    <oddHeader>&amp;L&amp;F
&amp;A
&amp;Z&amp;F&amp;R&amp;G</oddHeader>
  </headerFooter>
  <legacyDrawing r:id="rId2"/>
  <legacyDrawingHF r:id="rId3"/>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F7008-75E8-4B74-AF3A-51DC8CB95ECA}">
  <sheetPr codeName="Sheet33"/>
  <dimension ref="A1:P43"/>
  <sheetViews>
    <sheetView tabSelected="1" view="pageBreakPreview" zoomScale="85" zoomScaleNormal="94" zoomScaleSheetLayoutView="85" zoomScalePageLayoutView="55" workbookViewId="0">
      <selection activeCell="J14" sqref="D13:J14"/>
    </sheetView>
  </sheetViews>
  <sheetFormatPr defaultRowHeight="14.25" x14ac:dyDescent="0.2"/>
  <cols>
    <col min="1" max="1" width="25.7109375" style="4" bestFit="1" customWidth="1"/>
    <col min="2" max="2" width="3" style="4" customWidth="1"/>
    <col min="3" max="3" width="12.28515625" style="4" customWidth="1"/>
    <col min="4" max="4" width="18" style="4" customWidth="1"/>
    <col min="5" max="5" width="14.42578125" style="4" customWidth="1"/>
    <col min="6" max="6" width="18.140625" style="4" bestFit="1" customWidth="1"/>
    <col min="7" max="7" width="27" style="4" customWidth="1"/>
    <col min="8" max="8" width="18.28515625" style="4" customWidth="1"/>
    <col min="9" max="9" width="15" style="4" customWidth="1"/>
    <col min="10" max="10" width="13.28515625" style="4" customWidth="1"/>
    <col min="11" max="11" width="17.42578125" style="4" customWidth="1"/>
    <col min="12" max="12" width="14.5703125" style="4" customWidth="1"/>
    <col min="13" max="13" width="15.85546875" style="4" bestFit="1" customWidth="1"/>
    <col min="14" max="14" width="20" style="4" customWidth="1"/>
    <col min="15" max="16" width="13" style="4" customWidth="1"/>
    <col min="17" max="252" width="8.5703125" style="4"/>
    <col min="253" max="253" width="19.5703125" style="4" customWidth="1"/>
    <col min="254" max="254" width="15.5703125" style="4" customWidth="1"/>
    <col min="255" max="255" width="11.5703125" style="4" customWidth="1"/>
    <col min="256" max="256" width="14.42578125" style="4" customWidth="1"/>
    <col min="257" max="257" width="12.42578125" style="4" customWidth="1"/>
    <col min="258" max="258" width="12.5703125" style="4" customWidth="1"/>
    <col min="259" max="259" width="13.42578125" style="4" customWidth="1"/>
    <col min="260" max="260" width="14" style="4" customWidth="1"/>
    <col min="261" max="261" width="14.5703125" style="4" customWidth="1"/>
    <col min="262" max="262" width="15.5703125" style="4" customWidth="1"/>
    <col min="263" max="508" width="8.5703125" style="4"/>
    <col min="509" max="509" width="19.5703125" style="4" customWidth="1"/>
    <col min="510" max="510" width="15.5703125" style="4" customWidth="1"/>
    <col min="511" max="511" width="11.5703125" style="4" customWidth="1"/>
    <col min="512" max="512" width="14.42578125" style="4" customWidth="1"/>
    <col min="513" max="513" width="12.42578125" style="4" customWidth="1"/>
    <col min="514" max="514" width="12.5703125" style="4" customWidth="1"/>
    <col min="515" max="515" width="13.42578125" style="4" customWidth="1"/>
    <col min="516" max="516" width="14" style="4" customWidth="1"/>
    <col min="517" max="517" width="14.5703125" style="4" customWidth="1"/>
    <col min="518" max="518" width="15.5703125" style="4" customWidth="1"/>
    <col min="519" max="764" width="8.5703125" style="4"/>
    <col min="765" max="765" width="19.5703125" style="4" customWidth="1"/>
    <col min="766" max="766" width="15.5703125" style="4" customWidth="1"/>
    <col min="767" max="767" width="11.5703125" style="4" customWidth="1"/>
    <col min="768" max="768" width="14.42578125" style="4" customWidth="1"/>
    <col min="769" max="769" width="12.42578125" style="4" customWidth="1"/>
    <col min="770" max="770" width="12.5703125" style="4" customWidth="1"/>
    <col min="771" max="771" width="13.42578125" style="4" customWidth="1"/>
    <col min="772" max="772" width="14" style="4" customWidth="1"/>
    <col min="773" max="773" width="14.5703125" style="4" customWidth="1"/>
    <col min="774" max="774" width="15.5703125" style="4" customWidth="1"/>
    <col min="775" max="1020" width="8.5703125" style="4"/>
    <col min="1021" max="1021" width="19.5703125" style="4" customWidth="1"/>
    <col min="1022" max="1022" width="15.5703125" style="4" customWidth="1"/>
    <col min="1023" max="1023" width="11.5703125" style="4" customWidth="1"/>
    <col min="1024" max="1024" width="14.42578125" style="4" customWidth="1"/>
    <col min="1025" max="1025" width="12.42578125" style="4" customWidth="1"/>
    <col min="1026" max="1026" width="12.5703125" style="4" customWidth="1"/>
    <col min="1027" max="1027" width="13.42578125" style="4" customWidth="1"/>
    <col min="1028" max="1028" width="14" style="4" customWidth="1"/>
    <col min="1029" max="1029" width="14.5703125" style="4" customWidth="1"/>
    <col min="1030" max="1030" width="15.5703125" style="4" customWidth="1"/>
    <col min="1031" max="1276" width="8.5703125" style="4"/>
    <col min="1277" max="1277" width="19.5703125" style="4" customWidth="1"/>
    <col min="1278" max="1278" width="15.5703125" style="4" customWidth="1"/>
    <col min="1279" max="1279" width="11.5703125" style="4" customWidth="1"/>
    <col min="1280" max="1280" width="14.42578125" style="4" customWidth="1"/>
    <col min="1281" max="1281" width="12.42578125" style="4" customWidth="1"/>
    <col min="1282" max="1282" width="12.5703125" style="4" customWidth="1"/>
    <col min="1283" max="1283" width="13.42578125" style="4" customWidth="1"/>
    <col min="1284" max="1284" width="14" style="4" customWidth="1"/>
    <col min="1285" max="1285" width="14.5703125" style="4" customWidth="1"/>
    <col min="1286" max="1286" width="15.5703125" style="4" customWidth="1"/>
    <col min="1287" max="1532" width="8.5703125" style="4"/>
    <col min="1533" max="1533" width="19.5703125" style="4" customWidth="1"/>
    <col min="1534" max="1534" width="15.5703125" style="4" customWidth="1"/>
    <col min="1535" max="1535" width="11.5703125" style="4" customWidth="1"/>
    <col min="1536" max="1536" width="14.42578125" style="4" customWidth="1"/>
    <col min="1537" max="1537" width="12.42578125" style="4" customWidth="1"/>
    <col min="1538" max="1538" width="12.5703125" style="4" customWidth="1"/>
    <col min="1539" max="1539" width="13.42578125" style="4" customWidth="1"/>
    <col min="1540" max="1540" width="14" style="4" customWidth="1"/>
    <col min="1541" max="1541" width="14.5703125" style="4" customWidth="1"/>
    <col min="1542" max="1542" width="15.5703125" style="4" customWidth="1"/>
    <col min="1543" max="1788" width="8.5703125" style="4"/>
    <col min="1789" max="1789" width="19.5703125" style="4" customWidth="1"/>
    <col min="1790" max="1790" width="15.5703125" style="4" customWidth="1"/>
    <col min="1791" max="1791" width="11.5703125" style="4" customWidth="1"/>
    <col min="1792" max="1792" width="14.42578125" style="4" customWidth="1"/>
    <col min="1793" max="1793" width="12.42578125" style="4" customWidth="1"/>
    <col min="1794" max="1794" width="12.5703125" style="4" customWidth="1"/>
    <col min="1795" max="1795" width="13.42578125" style="4" customWidth="1"/>
    <col min="1796" max="1796" width="14" style="4" customWidth="1"/>
    <col min="1797" max="1797" width="14.5703125" style="4" customWidth="1"/>
    <col min="1798" max="1798" width="15.5703125" style="4" customWidth="1"/>
    <col min="1799" max="2044" width="8.5703125" style="4"/>
    <col min="2045" max="2045" width="19.5703125" style="4" customWidth="1"/>
    <col min="2046" max="2046" width="15.5703125" style="4" customWidth="1"/>
    <col min="2047" max="2047" width="11.5703125" style="4" customWidth="1"/>
    <col min="2048" max="2048" width="14.42578125" style="4" customWidth="1"/>
    <col min="2049" max="2049" width="12.42578125" style="4" customWidth="1"/>
    <col min="2050" max="2050" width="12.5703125" style="4" customWidth="1"/>
    <col min="2051" max="2051" width="13.42578125" style="4" customWidth="1"/>
    <col min="2052" max="2052" width="14" style="4" customWidth="1"/>
    <col min="2053" max="2053" width="14.5703125" style="4" customWidth="1"/>
    <col min="2054" max="2054" width="15.5703125" style="4" customWidth="1"/>
    <col min="2055" max="2300" width="8.5703125" style="4"/>
    <col min="2301" max="2301" width="19.5703125" style="4" customWidth="1"/>
    <col min="2302" max="2302" width="15.5703125" style="4" customWidth="1"/>
    <col min="2303" max="2303" width="11.5703125" style="4" customWidth="1"/>
    <col min="2304" max="2304" width="14.42578125" style="4" customWidth="1"/>
    <col min="2305" max="2305" width="12.42578125" style="4" customWidth="1"/>
    <col min="2306" max="2306" width="12.5703125" style="4" customWidth="1"/>
    <col min="2307" max="2307" width="13.42578125" style="4" customWidth="1"/>
    <col min="2308" max="2308" width="14" style="4" customWidth="1"/>
    <col min="2309" max="2309" width="14.5703125" style="4" customWidth="1"/>
    <col min="2310" max="2310" width="15.5703125" style="4" customWidth="1"/>
    <col min="2311" max="2556" width="8.5703125" style="4"/>
    <col min="2557" max="2557" width="19.5703125" style="4" customWidth="1"/>
    <col min="2558" max="2558" width="15.5703125" style="4" customWidth="1"/>
    <col min="2559" max="2559" width="11.5703125" style="4" customWidth="1"/>
    <col min="2560" max="2560" width="14.42578125" style="4" customWidth="1"/>
    <col min="2561" max="2561" width="12.42578125" style="4" customWidth="1"/>
    <col min="2562" max="2562" width="12.5703125" style="4" customWidth="1"/>
    <col min="2563" max="2563" width="13.42578125" style="4" customWidth="1"/>
    <col min="2564" max="2564" width="14" style="4" customWidth="1"/>
    <col min="2565" max="2565" width="14.5703125" style="4" customWidth="1"/>
    <col min="2566" max="2566" width="15.5703125" style="4" customWidth="1"/>
    <col min="2567" max="2812" width="8.5703125" style="4"/>
    <col min="2813" max="2813" width="19.5703125" style="4" customWidth="1"/>
    <col min="2814" max="2814" width="15.5703125" style="4" customWidth="1"/>
    <col min="2815" max="2815" width="11.5703125" style="4" customWidth="1"/>
    <col min="2816" max="2816" width="14.42578125" style="4" customWidth="1"/>
    <col min="2817" max="2817" width="12.42578125" style="4" customWidth="1"/>
    <col min="2818" max="2818" width="12.5703125" style="4" customWidth="1"/>
    <col min="2819" max="2819" width="13.42578125" style="4" customWidth="1"/>
    <col min="2820" max="2820" width="14" style="4" customWidth="1"/>
    <col min="2821" max="2821" width="14.5703125" style="4" customWidth="1"/>
    <col min="2822" max="2822" width="15.5703125" style="4" customWidth="1"/>
    <col min="2823" max="3068" width="8.5703125" style="4"/>
    <col min="3069" max="3069" width="19.5703125" style="4" customWidth="1"/>
    <col min="3070" max="3070" width="15.5703125" style="4" customWidth="1"/>
    <col min="3071" max="3071" width="11.5703125" style="4" customWidth="1"/>
    <col min="3072" max="3072" width="14.42578125" style="4" customWidth="1"/>
    <col min="3073" max="3073" width="12.42578125" style="4" customWidth="1"/>
    <col min="3074" max="3074" width="12.5703125" style="4" customWidth="1"/>
    <col min="3075" max="3075" width="13.42578125" style="4" customWidth="1"/>
    <col min="3076" max="3076" width="14" style="4" customWidth="1"/>
    <col min="3077" max="3077" width="14.5703125" style="4" customWidth="1"/>
    <col min="3078" max="3078" width="15.5703125" style="4" customWidth="1"/>
    <col min="3079" max="3324" width="8.5703125" style="4"/>
    <col min="3325" max="3325" width="19.5703125" style="4" customWidth="1"/>
    <col min="3326" max="3326" width="15.5703125" style="4" customWidth="1"/>
    <col min="3327" max="3327" width="11.5703125" style="4" customWidth="1"/>
    <col min="3328" max="3328" width="14.42578125" style="4" customWidth="1"/>
    <col min="3329" max="3329" width="12.42578125" style="4" customWidth="1"/>
    <col min="3330" max="3330" width="12.5703125" style="4" customWidth="1"/>
    <col min="3331" max="3331" width="13.42578125" style="4" customWidth="1"/>
    <col min="3332" max="3332" width="14" style="4" customWidth="1"/>
    <col min="3333" max="3333" width="14.5703125" style="4" customWidth="1"/>
    <col min="3334" max="3334" width="15.5703125" style="4" customWidth="1"/>
    <col min="3335" max="3580" width="8.5703125" style="4"/>
    <col min="3581" max="3581" width="19.5703125" style="4" customWidth="1"/>
    <col min="3582" max="3582" width="15.5703125" style="4" customWidth="1"/>
    <col min="3583" max="3583" width="11.5703125" style="4" customWidth="1"/>
    <col min="3584" max="3584" width="14.42578125" style="4" customWidth="1"/>
    <col min="3585" max="3585" width="12.42578125" style="4" customWidth="1"/>
    <col min="3586" max="3586" width="12.5703125" style="4" customWidth="1"/>
    <col min="3587" max="3587" width="13.42578125" style="4" customWidth="1"/>
    <col min="3588" max="3588" width="14" style="4" customWidth="1"/>
    <col min="3589" max="3589" width="14.5703125" style="4" customWidth="1"/>
    <col min="3590" max="3590" width="15.5703125" style="4" customWidth="1"/>
    <col min="3591" max="3836" width="8.5703125" style="4"/>
    <col min="3837" max="3837" width="19.5703125" style="4" customWidth="1"/>
    <col min="3838" max="3838" width="15.5703125" style="4" customWidth="1"/>
    <col min="3839" max="3839" width="11.5703125" style="4" customWidth="1"/>
    <col min="3840" max="3840" width="14.42578125" style="4" customWidth="1"/>
    <col min="3841" max="3841" width="12.42578125" style="4" customWidth="1"/>
    <col min="3842" max="3842" width="12.5703125" style="4" customWidth="1"/>
    <col min="3843" max="3843" width="13.42578125" style="4" customWidth="1"/>
    <col min="3844" max="3844" width="14" style="4" customWidth="1"/>
    <col min="3845" max="3845" width="14.5703125" style="4" customWidth="1"/>
    <col min="3846" max="3846" width="15.5703125" style="4" customWidth="1"/>
    <col min="3847" max="4092" width="8.5703125" style="4"/>
    <col min="4093" max="4093" width="19.5703125" style="4" customWidth="1"/>
    <col min="4094" max="4094" width="15.5703125" style="4" customWidth="1"/>
    <col min="4095" max="4095" width="11.5703125" style="4" customWidth="1"/>
    <col min="4096" max="4096" width="14.42578125" style="4" customWidth="1"/>
    <col min="4097" max="4097" width="12.42578125" style="4" customWidth="1"/>
    <col min="4098" max="4098" width="12.5703125" style="4" customWidth="1"/>
    <col min="4099" max="4099" width="13.42578125" style="4" customWidth="1"/>
    <col min="4100" max="4100" width="14" style="4" customWidth="1"/>
    <col min="4101" max="4101" width="14.5703125" style="4" customWidth="1"/>
    <col min="4102" max="4102" width="15.5703125" style="4" customWidth="1"/>
    <col min="4103" max="4348" width="8.5703125" style="4"/>
    <col min="4349" max="4349" width="19.5703125" style="4" customWidth="1"/>
    <col min="4350" max="4350" width="15.5703125" style="4" customWidth="1"/>
    <col min="4351" max="4351" width="11.5703125" style="4" customWidth="1"/>
    <col min="4352" max="4352" width="14.42578125" style="4" customWidth="1"/>
    <col min="4353" max="4353" width="12.42578125" style="4" customWidth="1"/>
    <col min="4354" max="4354" width="12.5703125" style="4" customWidth="1"/>
    <col min="4355" max="4355" width="13.42578125" style="4" customWidth="1"/>
    <col min="4356" max="4356" width="14" style="4" customWidth="1"/>
    <col min="4357" max="4357" width="14.5703125" style="4" customWidth="1"/>
    <col min="4358" max="4358" width="15.5703125" style="4" customWidth="1"/>
    <col min="4359" max="4604" width="8.5703125" style="4"/>
    <col min="4605" max="4605" width="19.5703125" style="4" customWidth="1"/>
    <col min="4606" max="4606" width="15.5703125" style="4" customWidth="1"/>
    <col min="4607" max="4607" width="11.5703125" style="4" customWidth="1"/>
    <col min="4608" max="4608" width="14.42578125" style="4" customWidth="1"/>
    <col min="4609" max="4609" width="12.42578125" style="4" customWidth="1"/>
    <col min="4610" max="4610" width="12.5703125" style="4" customWidth="1"/>
    <col min="4611" max="4611" width="13.42578125" style="4" customWidth="1"/>
    <col min="4612" max="4612" width="14" style="4" customWidth="1"/>
    <col min="4613" max="4613" width="14.5703125" style="4" customWidth="1"/>
    <col min="4614" max="4614" width="15.5703125" style="4" customWidth="1"/>
    <col min="4615" max="4860" width="8.5703125" style="4"/>
    <col min="4861" max="4861" width="19.5703125" style="4" customWidth="1"/>
    <col min="4862" max="4862" width="15.5703125" style="4" customWidth="1"/>
    <col min="4863" max="4863" width="11.5703125" style="4" customWidth="1"/>
    <col min="4864" max="4864" width="14.42578125" style="4" customWidth="1"/>
    <col min="4865" max="4865" width="12.42578125" style="4" customWidth="1"/>
    <col min="4866" max="4866" width="12.5703125" style="4" customWidth="1"/>
    <col min="4867" max="4867" width="13.42578125" style="4" customWidth="1"/>
    <col min="4868" max="4868" width="14" style="4" customWidth="1"/>
    <col min="4869" max="4869" width="14.5703125" style="4" customWidth="1"/>
    <col min="4870" max="4870" width="15.5703125" style="4" customWidth="1"/>
    <col min="4871" max="5116" width="8.5703125" style="4"/>
    <col min="5117" max="5117" width="19.5703125" style="4" customWidth="1"/>
    <col min="5118" max="5118" width="15.5703125" style="4" customWidth="1"/>
    <col min="5119" max="5119" width="11.5703125" style="4" customWidth="1"/>
    <col min="5120" max="5120" width="14.42578125" style="4" customWidth="1"/>
    <col min="5121" max="5121" width="12.42578125" style="4" customWidth="1"/>
    <col min="5122" max="5122" width="12.5703125" style="4" customWidth="1"/>
    <col min="5123" max="5123" width="13.42578125" style="4" customWidth="1"/>
    <col min="5124" max="5124" width="14" style="4" customWidth="1"/>
    <col min="5125" max="5125" width="14.5703125" style="4" customWidth="1"/>
    <col min="5126" max="5126" width="15.5703125" style="4" customWidth="1"/>
    <col min="5127" max="5372" width="8.5703125" style="4"/>
    <col min="5373" max="5373" width="19.5703125" style="4" customWidth="1"/>
    <col min="5374" max="5374" width="15.5703125" style="4" customWidth="1"/>
    <col min="5375" max="5375" width="11.5703125" style="4" customWidth="1"/>
    <col min="5376" max="5376" width="14.42578125" style="4" customWidth="1"/>
    <col min="5377" max="5377" width="12.42578125" style="4" customWidth="1"/>
    <col min="5378" max="5378" width="12.5703125" style="4" customWidth="1"/>
    <col min="5379" max="5379" width="13.42578125" style="4" customWidth="1"/>
    <col min="5380" max="5380" width="14" style="4" customWidth="1"/>
    <col min="5381" max="5381" width="14.5703125" style="4" customWidth="1"/>
    <col min="5382" max="5382" width="15.5703125" style="4" customWidth="1"/>
    <col min="5383" max="5628" width="8.5703125" style="4"/>
    <col min="5629" max="5629" width="19.5703125" style="4" customWidth="1"/>
    <col min="5630" max="5630" width="15.5703125" style="4" customWidth="1"/>
    <col min="5631" max="5631" width="11.5703125" style="4" customWidth="1"/>
    <col min="5632" max="5632" width="14.42578125" style="4" customWidth="1"/>
    <col min="5633" max="5633" width="12.42578125" style="4" customWidth="1"/>
    <col min="5634" max="5634" width="12.5703125" style="4" customWidth="1"/>
    <col min="5635" max="5635" width="13.42578125" style="4" customWidth="1"/>
    <col min="5636" max="5636" width="14" style="4" customWidth="1"/>
    <col min="5637" max="5637" width="14.5703125" style="4" customWidth="1"/>
    <col min="5638" max="5638" width="15.5703125" style="4" customWidth="1"/>
    <col min="5639" max="5884" width="8.5703125" style="4"/>
    <col min="5885" max="5885" width="19.5703125" style="4" customWidth="1"/>
    <col min="5886" max="5886" width="15.5703125" style="4" customWidth="1"/>
    <col min="5887" max="5887" width="11.5703125" style="4" customWidth="1"/>
    <col min="5888" max="5888" width="14.42578125" style="4" customWidth="1"/>
    <col min="5889" max="5889" width="12.42578125" style="4" customWidth="1"/>
    <col min="5890" max="5890" width="12.5703125" style="4" customWidth="1"/>
    <col min="5891" max="5891" width="13.42578125" style="4" customWidth="1"/>
    <col min="5892" max="5892" width="14" style="4" customWidth="1"/>
    <col min="5893" max="5893" width="14.5703125" style="4" customWidth="1"/>
    <col min="5894" max="5894" width="15.5703125" style="4" customWidth="1"/>
    <col min="5895" max="6140" width="8.5703125" style="4"/>
    <col min="6141" max="6141" width="19.5703125" style="4" customWidth="1"/>
    <col min="6142" max="6142" width="15.5703125" style="4" customWidth="1"/>
    <col min="6143" max="6143" width="11.5703125" style="4" customWidth="1"/>
    <col min="6144" max="6144" width="14.42578125" style="4" customWidth="1"/>
    <col min="6145" max="6145" width="12.42578125" style="4" customWidth="1"/>
    <col min="6146" max="6146" width="12.5703125" style="4" customWidth="1"/>
    <col min="6147" max="6147" width="13.42578125" style="4" customWidth="1"/>
    <col min="6148" max="6148" width="14" style="4" customWidth="1"/>
    <col min="6149" max="6149" width="14.5703125" style="4" customWidth="1"/>
    <col min="6150" max="6150" width="15.5703125" style="4" customWidth="1"/>
    <col min="6151" max="6396" width="8.5703125" style="4"/>
    <col min="6397" max="6397" width="19.5703125" style="4" customWidth="1"/>
    <col min="6398" max="6398" width="15.5703125" style="4" customWidth="1"/>
    <col min="6399" max="6399" width="11.5703125" style="4" customWidth="1"/>
    <col min="6400" max="6400" width="14.42578125" style="4" customWidth="1"/>
    <col min="6401" max="6401" width="12.42578125" style="4" customWidth="1"/>
    <col min="6402" max="6402" width="12.5703125" style="4" customWidth="1"/>
    <col min="6403" max="6403" width="13.42578125" style="4" customWidth="1"/>
    <col min="6404" max="6404" width="14" style="4" customWidth="1"/>
    <col min="6405" max="6405" width="14.5703125" style="4" customWidth="1"/>
    <col min="6406" max="6406" width="15.5703125" style="4" customWidth="1"/>
    <col min="6407" max="6652" width="8.5703125" style="4"/>
    <col min="6653" max="6653" width="19.5703125" style="4" customWidth="1"/>
    <col min="6654" max="6654" width="15.5703125" style="4" customWidth="1"/>
    <col min="6655" max="6655" width="11.5703125" style="4" customWidth="1"/>
    <col min="6656" max="6656" width="14.42578125" style="4" customWidth="1"/>
    <col min="6657" max="6657" width="12.42578125" style="4" customWidth="1"/>
    <col min="6658" max="6658" width="12.5703125" style="4" customWidth="1"/>
    <col min="6659" max="6659" width="13.42578125" style="4" customWidth="1"/>
    <col min="6660" max="6660" width="14" style="4" customWidth="1"/>
    <col min="6661" max="6661" width="14.5703125" style="4" customWidth="1"/>
    <col min="6662" max="6662" width="15.5703125" style="4" customWidth="1"/>
    <col min="6663" max="6908" width="8.5703125" style="4"/>
    <col min="6909" max="6909" width="19.5703125" style="4" customWidth="1"/>
    <col min="6910" max="6910" width="15.5703125" style="4" customWidth="1"/>
    <col min="6911" max="6911" width="11.5703125" style="4" customWidth="1"/>
    <col min="6912" max="6912" width="14.42578125" style="4" customWidth="1"/>
    <col min="6913" max="6913" width="12.42578125" style="4" customWidth="1"/>
    <col min="6914" max="6914" width="12.5703125" style="4" customWidth="1"/>
    <col min="6915" max="6915" width="13.42578125" style="4" customWidth="1"/>
    <col min="6916" max="6916" width="14" style="4" customWidth="1"/>
    <col min="6917" max="6917" width="14.5703125" style="4" customWidth="1"/>
    <col min="6918" max="6918" width="15.5703125" style="4" customWidth="1"/>
    <col min="6919" max="7164" width="8.5703125" style="4"/>
    <col min="7165" max="7165" width="19.5703125" style="4" customWidth="1"/>
    <col min="7166" max="7166" width="15.5703125" style="4" customWidth="1"/>
    <col min="7167" max="7167" width="11.5703125" style="4" customWidth="1"/>
    <col min="7168" max="7168" width="14.42578125" style="4" customWidth="1"/>
    <col min="7169" max="7169" width="12.42578125" style="4" customWidth="1"/>
    <col min="7170" max="7170" width="12.5703125" style="4" customWidth="1"/>
    <col min="7171" max="7171" width="13.42578125" style="4" customWidth="1"/>
    <col min="7172" max="7172" width="14" style="4" customWidth="1"/>
    <col min="7173" max="7173" width="14.5703125" style="4" customWidth="1"/>
    <col min="7174" max="7174" width="15.5703125" style="4" customWidth="1"/>
    <col min="7175" max="7420" width="8.5703125" style="4"/>
    <col min="7421" max="7421" width="19.5703125" style="4" customWidth="1"/>
    <col min="7422" max="7422" width="15.5703125" style="4" customWidth="1"/>
    <col min="7423" max="7423" width="11.5703125" style="4" customWidth="1"/>
    <col min="7424" max="7424" width="14.42578125" style="4" customWidth="1"/>
    <col min="7425" max="7425" width="12.42578125" style="4" customWidth="1"/>
    <col min="7426" max="7426" width="12.5703125" style="4" customWidth="1"/>
    <col min="7427" max="7427" width="13.42578125" style="4" customWidth="1"/>
    <col min="7428" max="7428" width="14" style="4" customWidth="1"/>
    <col min="7429" max="7429" width="14.5703125" style="4" customWidth="1"/>
    <col min="7430" max="7430" width="15.5703125" style="4" customWidth="1"/>
    <col min="7431" max="7676" width="8.5703125" style="4"/>
    <col min="7677" max="7677" width="19.5703125" style="4" customWidth="1"/>
    <col min="7678" max="7678" width="15.5703125" style="4" customWidth="1"/>
    <col min="7679" max="7679" width="11.5703125" style="4" customWidth="1"/>
    <col min="7680" max="7680" width="14.42578125" style="4" customWidth="1"/>
    <col min="7681" max="7681" width="12.42578125" style="4" customWidth="1"/>
    <col min="7682" max="7682" width="12.5703125" style="4" customWidth="1"/>
    <col min="7683" max="7683" width="13.42578125" style="4" customWidth="1"/>
    <col min="7684" max="7684" width="14" style="4" customWidth="1"/>
    <col min="7685" max="7685" width="14.5703125" style="4" customWidth="1"/>
    <col min="7686" max="7686" width="15.5703125" style="4" customWidth="1"/>
    <col min="7687" max="7932" width="8.5703125" style="4"/>
    <col min="7933" max="7933" width="19.5703125" style="4" customWidth="1"/>
    <col min="7934" max="7934" width="15.5703125" style="4" customWidth="1"/>
    <col min="7935" max="7935" width="11.5703125" style="4" customWidth="1"/>
    <col min="7936" max="7936" width="14.42578125" style="4" customWidth="1"/>
    <col min="7937" max="7937" width="12.42578125" style="4" customWidth="1"/>
    <col min="7938" max="7938" width="12.5703125" style="4" customWidth="1"/>
    <col min="7939" max="7939" width="13.42578125" style="4" customWidth="1"/>
    <col min="7940" max="7940" width="14" style="4" customWidth="1"/>
    <col min="7941" max="7941" width="14.5703125" style="4" customWidth="1"/>
    <col min="7942" max="7942" width="15.5703125" style="4" customWidth="1"/>
    <col min="7943" max="8188" width="8.5703125" style="4"/>
    <col min="8189" max="8189" width="19.5703125" style="4" customWidth="1"/>
    <col min="8190" max="8190" width="15.5703125" style="4" customWidth="1"/>
    <col min="8191" max="8191" width="11.5703125" style="4" customWidth="1"/>
    <col min="8192" max="8192" width="14.42578125" style="4" customWidth="1"/>
    <col min="8193" max="8193" width="12.42578125" style="4" customWidth="1"/>
    <col min="8194" max="8194" width="12.5703125" style="4" customWidth="1"/>
    <col min="8195" max="8195" width="13.42578125" style="4" customWidth="1"/>
    <col min="8196" max="8196" width="14" style="4" customWidth="1"/>
    <col min="8197" max="8197" width="14.5703125" style="4" customWidth="1"/>
    <col min="8198" max="8198" width="15.5703125" style="4" customWidth="1"/>
    <col min="8199" max="8444" width="8.5703125" style="4"/>
    <col min="8445" max="8445" width="19.5703125" style="4" customWidth="1"/>
    <col min="8446" max="8446" width="15.5703125" style="4" customWidth="1"/>
    <col min="8447" max="8447" width="11.5703125" style="4" customWidth="1"/>
    <col min="8448" max="8448" width="14.42578125" style="4" customWidth="1"/>
    <col min="8449" max="8449" width="12.42578125" style="4" customWidth="1"/>
    <col min="8450" max="8450" width="12.5703125" style="4" customWidth="1"/>
    <col min="8451" max="8451" width="13.42578125" style="4" customWidth="1"/>
    <col min="8452" max="8452" width="14" style="4" customWidth="1"/>
    <col min="8453" max="8453" width="14.5703125" style="4" customWidth="1"/>
    <col min="8454" max="8454" width="15.5703125" style="4" customWidth="1"/>
    <col min="8455" max="8700" width="8.5703125" style="4"/>
    <col min="8701" max="8701" width="19.5703125" style="4" customWidth="1"/>
    <col min="8702" max="8702" width="15.5703125" style="4" customWidth="1"/>
    <col min="8703" max="8703" width="11.5703125" style="4" customWidth="1"/>
    <col min="8704" max="8704" width="14.42578125" style="4" customWidth="1"/>
    <col min="8705" max="8705" width="12.42578125" style="4" customWidth="1"/>
    <col min="8706" max="8706" width="12.5703125" style="4" customWidth="1"/>
    <col min="8707" max="8707" width="13.42578125" style="4" customWidth="1"/>
    <col min="8708" max="8708" width="14" style="4" customWidth="1"/>
    <col min="8709" max="8709" width="14.5703125" style="4" customWidth="1"/>
    <col min="8710" max="8710" width="15.5703125" style="4" customWidth="1"/>
    <col min="8711" max="8956" width="8.5703125" style="4"/>
    <col min="8957" max="8957" width="19.5703125" style="4" customWidth="1"/>
    <col min="8958" max="8958" width="15.5703125" style="4" customWidth="1"/>
    <col min="8959" max="8959" width="11.5703125" style="4" customWidth="1"/>
    <col min="8960" max="8960" width="14.42578125" style="4" customWidth="1"/>
    <col min="8961" max="8961" width="12.42578125" style="4" customWidth="1"/>
    <col min="8962" max="8962" width="12.5703125" style="4" customWidth="1"/>
    <col min="8963" max="8963" width="13.42578125" style="4" customWidth="1"/>
    <col min="8964" max="8964" width="14" style="4" customWidth="1"/>
    <col min="8965" max="8965" width="14.5703125" style="4" customWidth="1"/>
    <col min="8966" max="8966" width="15.5703125" style="4" customWidth="1"/>
    <col min="8967" max="9212" width="8.5703125" style="4"/>
    <col min="9213" max="9213" width="19.5703125" style="4" customWidth="1"/>
    <col min="9214" max="9214" width="15.5703125" style="4" customWidth="1"/>
    <col min="9215" max="9215" width="11.5703125" style="4" customWidth="1"/>
    <col min="9216" max="9216" width="14.42578125" style="4" customWidth="1"/>
    <col min="9217" max="9217" width="12.42578125" style="4" customWidth="1"/>
    <col min="9218" max="9218" width="12.5703125" style="4" customWidth="1"/>
    <col min="9219" max="9219" width="13.42578125" style="4" customWidth="1"/>
    <col min="9220" max="9220" width="14" style="4" customWidth="1"/>
    <col min="9221" max="9221" width="14.5703125" style="4" customWidth="1"/>
    <col min="9222" max="9222" width="15.5703125" style="4" customWidth="1"/>
    <col min="9223" max="9468" width="8.5703125" style="4"/>
    <col min="9469" max="9469" width="19.5703125" style="4" customWidth="1"/>
    <col min="9470" max="9470" width="15.5703125" style="4" customWidth="1"/>
    <col min="9471" max="9471" width="11.5703125" style="4" customWidth="1"/>
    <col min="9472" max="9472" width="14.42578125" style="4" customWidth="1"/>
    <col min="9473" max="9473" width="12.42578125" style="4" customWidth="1"/>
    <col min="9474" max="9474" width="12.5703125" style="4" customWidth="1"/>
    <col min="9475" max="9475" width="13.42578125" style="4" customWidth="1"/>
    <col min="9476" max="9476" width="14" style="4" customWidth="1"/>
    <col min="9477" max="9477" width="14.5703125" style="4" customWidth="1"/>
    <col min="9478" max="9478" width="15.5703125" style="4" customWidth="1"/>
    <col min="9479" max="9724" width="8.5703125" style="4"/>
    <col min="9725" max="9725" width="19.5703125" style="4" customWidth="1"/>
    <col min="9726" max="9726" width="15.5703125" style="4" customWidth="1"/>
    <col min="9727" max="9727" width="11.5703125" style="4" customWidth="1"/>
    <col min="9728" max="9728" width="14.42578125" style="4" customWidth="1"/>
    <col min="9729" max="9729" width="12.42578125" style="4" customWidth="1"/>
    <col min="9730" max="9730" width="12.5703125" style="4" customWidth="1"/>
    <col min="9731" max="9731" width="13.42578125" style="4" customWidth="1"/>
    <col min="9732" max="9732" width="14" style="4" customWidth="1"/>
    <col min="9733" max="9733" width="14.5703125" style="4" customWidth="1"/>
    <col min="9734" max="9734" width="15.5703125" style="4" customWidth="1"/>
    <col min="9735" max="9980" width="8.5703125" style="4"/>
    <col min="9981" max="9981" width="19.5703125" style="4" customWidth="1"/>
    <col min="9982" max="9982" width="15.5703125" style="4" customWidth="1"/>
    <col min="9983" max="9983" width="11.5703125" style="4" customWidth="1"/>
    <col min="9984" max="9984" width="14.42578125" style="4" customWidth="1"/>
    <col min="9985" max="9985" width="12.42578125" style="4" customWidth="1"/>
    <col min="9986" max="9986" width="12.5703125" style="4" customWidth="1"/>
    <col min="9987" max="9987" width="13.42578125" style="4" customWidth="1"/>
    <col min="9988" max="9988" width="14" style="4" customWidth="1"/>
    <col min="9989" max="9989" width="14.5703125" style="4" customWidth="1"/>
    <col min="9990" max="9990" width="15.5703125" style="4" customWidth="1"/>
    <col min="9991" max="10236" width="8.5703125" style="4"/>
    <col min="10237" max="10237" width="19.5703125" style="4" customWidth="1"/>
    <col min="10238" max="10238" width="15.5703125" style="4" customWidth="1"/>
    <col min="10239" max="10239" width="11.5703125" style="4" customWidth="1"/>
    <col min="10240" max="10240" width="14.42578125" style="4" customWidth="1"/>
    <col min="10241" max="10241" width="12.42578125" style="4" customWidth="1"/>
    <col min="10242" max="10242" width="12.5703125" style="4" customWidth="1"/>
    <col min="10243" max="10243" width="13.42578125" style="4" customWidth="1"/>
    <col min="10244" max="10244" width="14" style="4" customWidth="1"/>
    <col min="10245" max="10245" width="14.5703125" style="4" customWidth="1"/>
    <col min="10246" max="10246" width="15.5703125" style="4" customWidth="1"/>
    <col min="10247" max="10492" width="8.5703125" style="4"/>
    <col min="10493" max="10493" width="19.5703125" style="4" customWidth="1"/>
    <col min="10494" max="10494" width="15.5703125" style="4" customWidth="1"/>
    <col min="10495" max="10495" width="11.5703125" style="4" customWidth="1"/>
    <col min="10496" max="10496" width="14.42578125" style="4" customWidth="1"/>
    <col min="10497" max="10497" width="12.42578125" style="4" customWidth="1"/>
    <col min="10498" max="10498" width="12.5703125" style="4" customWidth="1"/>
    <col min="10499" max="10499" width="13.42578125" style="4" customWidth="1"/>
    <col min="10500" max="10500" width="14" style="4" customWidth="1"/>
    <col min="10501" max="10501" width="14.5703125" style="4" customWidth="1"/>
    <col min="10502" max="10502" width="15.5703125" style="4" customWidth="1"/>
    <col min="10503" max="10748" width="8.5703125" style="4"/>
    <col min="10749" max="10749" width="19.5703125" style="4" customWidth="1"/>
    <col min="10750" max="10750" width="15.5703125" style="4" customWidth="1"/>
    <col min="10751" max="10751" width="11.5703125" style="4" customWidth="1"/>
    <col min="10752" max="10752" width="14.42578125" style="4" customWidth="1"/>
    <col min="10753" max="10753" width="12.42578125" style="4" customWidth="1"/>
    <col min="10754" max="10754" width="12.5703125" style="4" customWidth="1"/>
    <col min="10755" max="10755" width="13.42578125" style="4" customWidth="1"/>
    <col min="10756" max="10756" width="14" style="4" customWidth="1"/>
    <col min="10757" max="10757" width="14.5703125" style="4" customWidth="1"/>
    <col min="10758" max="10758" width="15.5703125" style="4" customWidth="1"/>
    <col min="10759" max="11004" width="8.5703125" style="4"/>
    <col min="11005" max="11005" width="19.5703125" style="4" customWidth="1"/>
    <col min="11006" max="11006" width="15.5703125" style="4" customWidth="1"/>
    <col min="11007" max="11007" width="11.5703125" style="4" customWidth="1"/>
    <col min="11008" max="11008" width="14.42578125" style="4" customWidth="1"/>
    <col min="11009" max="11009" width="12.42578125" style="4" customWidth="1"/>
    <col min="11010" max="11010" width="12.5703125" style="4" customWidth="1"/>
    <col min="11011" max="11011" width="13.42578125" style="4" customWidth="1"/>
    <col min="11012" max="11012" width="14" style="4" customWidth="1"/>
    <col min="11013" max="11013" width="14.5703125" style="4" customWidth="1"/>
    <col min="11014" max="11014" width="15.5703125" style="4" customWidth="1"/>
    <col min="11015" max="11260" width="8.5703125" style="4"/>
    <col min="11261" max="11261" width="19.5703125" style="4" customWidth="1"/>
    <col min="11262" max="11262" width="15.5703125" style="4" customWidth="1"/>
    <col min="11263" max="11263" width="11.5703125" style="4" customWidth="1"/>
    <col min="11264" max="11264" width="14.42578125" style="4" customWidth="1"/>
    <col min="11265" max="11265" width="12.42578125" style="4" customWidth="1"/>
    <col min="11266" max="11266" width="12.5703125" style="4" customWidth="1"/>
    <col min="11267" max="11267" width="13.42578125" style="4" customWidth="1"/>
    <col min="11268" max="11268" width="14" style="4" customWidth="1"/>
    <col min="11269" max="11269" width="14.5703125" style="4" customWidth="1"/>
    <col min="11270" max="11270" width="15.5703125" style="4" customWidth="1"/>
    <col min="11271" max="11516" width="8.5703125" style="4"/>
    <col min="11517" max="11517" width="19.5703125" style="4" customWidth="1"/>
    <col min="11518" max="11518" width="15.5703125" style="4" customWidth="1"/>
    <col min="11519" max="11519" width="11.5703125" style="4" customWidth="1"/>
    <col min="11520" max="11520" width="14.42578125" style="4" customWidth="1"/>
    <col min="11521" max="11521" width="12.42578125" style="4" customWidth="1"/>
    <col min="11522" max="11522" width="12.5703125" style="4" customWidth="1"/>
    <col min="11523" max="11523" width="13.42578125" style="4" customWidth="1"/>
    <col min="11524" max="11524" width="14" style="4" customWidth="1"/>
    <col min="11525" max="11525" width="14.5703125" style="4" customWidth="1"/>
    <col min="11526" max="11526" width="15.5703125" style="4" customWidth="1"/>
    <col min="11527" max="11772" width="8.5703125" style="4"/>
    <col min="11773" max="11773" width="19.5703125" style="4" customWidth="1"/>
    <col min="11774" max="11774" width="15.5703125" style="4" customWidth="1"/>
    <col min="11775" max="11775" width="11.5703125" style="4" customWidth="1"/>
    <col min="11776" max="11776" width="14.42578125" style="4" customWidth="1"/>
    <col min="11777" max="11777" width="12.42578125" style="4" customWidth="1"/>
    <col min="11778" max="11778" width="12.5703125" style="4" customWidth="1"/>
    <col min="11779" max="11779" width="13.42578125" style="4" customWidth="1"/>
    <col min="11780" max="11780" width="14" style="4" customWidth="1"/>
    <col min="11781" max="11781" width="14.5703125" style="4" customWidth="1"/>
    <col min="11782" max="11782" width="15.5703125" style="4" customWidth="1"/>
    <col min="11783" max="12028" width="8.5703125" style="4"/>
    <col min="12029" max="12029" width="19.5703125" style="4" customWidth="1"/>
    <col min="12030" max="12030" width="15.5703125" style="4" customWidth="1"/>
    <col min="12031" max="12031" width="11.5703125" style="4" customWidth="1"/>
    <col min="12032" max="12032" width="14.42578125" style="4" customWidth="1"/>
    <col min="12033" max="12033" width="12.42578125" style="4" customWidth="1"/>
    <col min="12034" max="12034" width="12.5703125" style="4" customWidth="1"/>
    <col min="12035" max="12035" width="13.42578125" style="4" customWidth="1"/>
    <col min="12036" max="12036" width="14" style="4" customWidth="1"/>
    <col min="12037" max="12037" width="14.5703125" style="4" customWidth="1"/>
    <col min="12038" max="12038" width="15.5703125" style="4" customWidth="1"/>
    <col min="12039" max="12284" width="8.5703125" style="4"/>
    <col min="12285" max="12285" width="19.5703125" style="4" customWidth="1"/>
    <col min="12286" max="12286" width="15.5703125" style="4" customWidth="1"/>
    <col min="12287" max="12287" width="11.5703125" style="4" customWidth="1"/>
    <col min="12288" max="12288" width="14.42578125" style="4" customWidth="1"/>
    <col min="12289" max="12289" width="12.42578125" style="4" customWidth="1"/>
    <col min="12290" max="12290" width="12.5703125" style="4" customWidth="1"/>
    <col min="12291" max="12291" width="13.42578125" style="4" customWidth="1"/>
    <col min="12292" max="12292" width="14" style="4" customWidth="1"/>
    <col min="12293" max="12293" width="14.5703125" style="4" customWidth="1"/>
    <col min="12294" max="12294" width="15.5703125" style="4" customWidth="1"/>
    <col min="12295" max="12540" width="8.5703125" style="4"/>
    <col min="12541" max="12541" width="19.5703125" style="4" customWidth="1"/>
    <col min="12542" max="12542" width="15.5703125" style="4" customWidth="1"/>
    <col min="12543" max="12543" width="11.5703125" style="4" customWidth="1"/>
    <col min="12544" max="12544" width="14.42578125" style="4" customWidth="1"/>
    <col min="12545" max="12545" width="12.42578125" style="4" customWidth="1"/>
    <col min="12546" max="12546" width="12.5703125" style="4" customWidth="1"/>
    <col min="12547" max="12547" width="13.42578125" style="4" customWidth="1"/>
    <col min="12548" max="12548" width="14" style="4" customWidth="1"/>
    <col min="12549" max="12549" width="14.5703125" style="4" customWidth="1"/>
    <col min="12550" max="12550" width="15.5703125" style="4" customWidth="1"/>
    <col min="12551" max="12796" width="8.5703125" style="4"/>
    <col min="12797" max="12797" width="19.5703125" style="4" customWidth="1"/>
    <col min="12798" max="12798" width="15.5703125" style="4" customWidth="1"/>
    <col min="12799" max="12799" width="11.5703125" style="4" customWidth="1"/>
    <col min="12800" max="12800" width="14.42578125" style="4" customWidth="1"/>
    <col min="12801" max="12801" width="12.42578125" style="4" customWidth="1"/>
    <col min="12802" max="12802" width="12.5703125" style="4" customWidth="1"/>
    <col min="12803" max="12803" width="13.42578125" style="4" customWidth="1"/>
    <col min="12804" max="12804" width="14" style="4" customWidth="1"/>
    <col min="12805" max="12805" width="14.5703125" style="4" customWidth="1"/>
    <col min="12806" max="12806" width="15.5703125" style="4" customWidth="1"/>
    <col min="12807" max="13052" width="8.5703125" style="4"/>
    <col min="13053" max="13053" width="19.5703125" style="4" customWidth="1"/>
    <col min="13054" max="13054" width="15.5703125" style="4" customWidth="1"/>
    <col min="13055" max="13055" width="11.5703125" style="4" customWidth="1"/>
    <col min="13056" max="13056" width="14.42578125" style="4" customWidth="1"/>
    <col min="13057" max="13057" width="12.42578125" style="4" customWidth="1"/>
    <col min="13058" max="13058" width="12.5703125" style="4" customWidth="1"/>
    <col min="13059" max="13059" width="13.42578125" style="4" customWidth="1"/>
    <col min="13060" max="13060" width="14" style="4" customWidth="1"/>
    <col min="13061" max="13061" width="14.5703125" style="4" customWidth="1"/>
    <col min="13062" max="13062" width="15.5703125" style="4" customWidth="1"/>
    <col min="13063" max="13308" width="8.5703125" style="4"/>
    <col min="13309" max="13309" width="19.5703125" style="4" customWidth="1"/>
    <col min="13310" max="13310" width="15.5703125" style="4" customWidth="1"/>
    <col min="13311" max="13311" width="11.5703125" style="4" customWidth="1"/>
    <col min="13312" max="13312" width="14.42578125" style="4" customWidth="1"/>
    <col min="13313" max="13313" width="12.42578125" style="4" customWidth="1"/>
    <col min="13314" max="13314" width="12.5703125" style="4" customWidth="1"/>
    <col min="13315" max="13315" width="13.42578125" style="4" customWidth="1"/>
    <col min="13316" max="13316" width="14" style="4" customWidth="1"/>
    <col min="13317" max="13317" width="14.5703125" style="4" customWidth="1"/>
    <col min="13318" max="13318" width="15.5703125" style="4" customWidth="1"/>
    <col min="13319" max="13564" width="8.5703125" style="4"/>
    <col min="13565" max="13565" width="19.5703125" style="4" customWidth="1"/>
    <col min="13566" max="13566" width="15.5703125" style="4" customWidth="1"/>
    <col min="13567" max="13567" width="11.5703125" style="4" customWidth="1"/>
    <col min="13568" max="13568" width="14.42578125" style="4" customWidth="1"/>
    <col min="13569" max="13569" width="12.42578125" style="4" customWidth="1"/>
    <col min="13570" max="13570" width="12.5703125" style="4" customWidth="1"/>
    <col min="13571" max="13571" width="13.42578125" style="4" customWidth="1"/>
    <col min="13572" max="13572" width="14" style="4" customWidth="1"/>
    <col min="13573" max="13573" width="14.5703125" style="4" customWidth="1"/>
    <col min="13574" max="13574" width="15.5703125" style="4" customWidth="1"/>
    <col min="13575" max="13820" width="8.5703125" style="4"/>
    <col min="13821" max="13821" width="19.5703125" style="4" customWidth="1"/>
    <col min="13822" max="13822" width="15.5703125" style="4" customWidth="1"/>
    <col min="13823" max="13823" width="11.5703125" style="4" customWidth="1"/>
    <col min="13824" max="13824" width="14.42578125" style="4" customWidth="1"/>
    <col min="13825" max="13825" width="12.42578125" style="4" customWidth="1"/>
    <col min="13826" max="13826" width="12.5703125" style="4" customWidth="1"/>
    <col min="13827" max="13827" width="13.42578125" style="4" customWidth="1"/>
    <col min="13828" max="13828" width="14" style="4" customWidth="1"/>
    <col min="13829" max="13829" width="14.5703125" style="4" customWidth="1"/>
    <col min="13830" max="13830" width="15.5703125" style="4" customWidth="1"/>
    <col min="13831" max="14076" width="8.5703125" style="4"/>
    <col min="14077" max="14077" width="19.5703125" style="4" customWidth="1"/>
    <col min="14078" max="14078" width="15.5703125" style="4" customWidth="1"/>
    <col min="14079" max="14079" width="11.5703125" style="4" customWidth="1"/>
    <col min="14080" max="14080" width="14.42578125" style="4" customWidth="1"/>
    <col min="14081" max="14081" width="12.42578125" style="4" customWidth="1"/>
    <col min="14082" max="14082" width="12.5703125" style="4" customWidth="1"/>
    <col min="14083" max="14083" width="13.42578125" style="4" customWidth="1"/>
    <col min="14084" max="14084" width="14" style="4" customWidth="1"/>
    <col min="14085" max="14085" width="14.5703125" style="4" customWidth="1"/>
    <col min="14086" max="14086" width="15.5703125" style="4" customWidth="1"/>
    <col min="14087" max="14332" width="8.5703125" style="4"/>
    <col min="14333" max="14333" width="19.5703125" style="4" customWidth="1"/>
    <col min="14334" max="14334" width="15.5703125" style="4" customWidth="1"/>
    <col min="14335" max="14335" width="11.5703125" style="4" customWidth="1"/>
    <col min="14336" max="14336" width="14.42578125" style="4" customWidth="1"/>
    <col min="14337" max="14337" width="12.42578125" style="4" customWidth="1"/>
    <col min="14338" max="14338" width="12.5703125" style="4" customWidth="1"/>
    <col min="14339" max="14339" width="13.42578125" style="4" customWidth="1"/>
    <col min="14340" max="14340" width="14" style="4" customWidth="1"/>
    <col min="14341" max="14341" width="14.5703125" style="4" customWidth="1"/>
    <col min="14342" max="14342" width="15.5703125" style="4" customWidth="1"/>
    <col min="14343" max="14588" width="8.5703125" style="4"/>
    <col min="14589" max="14589" width="19.5703125" style="4" customWidth="1"/>
    <col min="14590" max="14590" width="15.5703125" style="4" customWidth="1"/>
    <col min="14591" max="14591" width="11.5703125" style="4" customWidth="1"/>
    <col min="14592" max="14592" width="14.42578125" style="4" customWidth="1"/>
    <col min="14593" max="14593" width="12.42578125" style="4" customWidth="1"/>
    <col min="14594" max="14594" width="12.5703125" style="4" customWidth="1"/>
    <col min="14595" max="14595" width="13.42578125" style="4" customWidth="1"/>
    <col min="14596" max="14596" width="14" style="4" customWidth="1"/>
    <col min="14597" max="14597" width="14.5703125" style="4" customWidth="1"/>
    <col min="14598" max="14598" width="15.5703125" style="4" customWidth="1"/>
    <col min="14599" max="14844" width="8.5703125" style="4"/>
    <col min="14845" max="14845" width="19.5703125" style="4" customWidth="1"/>
    <col min="14846" max="14846" width="15.5703125" style="4" customWidth="1"/>
    <col min="14847" max="14847" width="11.5703125" style="4" customWidth="1"/>
    <col min="14848" max="14848" width="14.42578125" style="4" customWidth="1"/>
    <col min="14849" max="14849" width="12.42578125" style="4" customWidth="1"/>
    <col min="14850" max="14850" width="12.5703125" style="4" customWidth="1"/>
    <col min="14851" max="14851" width="13.42578125" style="4" customWidth="1"/>
    <col min="14852" max="14852" width="14" style="4" customWidth="1"/>
    <col min="14853" max="14853" width="14.5703125" style="4" customWidth="1"/>
    <col min="14854" max="14854" width="15.5703125" style="4" customWidth="1"/>
    <col min="14855" max="15100" width="8.5703125" style="4"/>
    <col min="15101" max="15101" width="19.5703125" style="4" customWidth="1"/>
    <col min="15102" max="15102" width="15.5703125" style="4" customWidth="1"/>
    <col min="15103" max="15103" width="11.5703125" style="4" customWidth="1"/>
    <col min="15104" max="15104" width="14.42578125" style="4" customWidth="1"/>
    <col min="15105" max="15105" width="12.42578125" style="4" customWidth="1"/>
    <col min="15106" max="15106" width="12.5703125" style="4" customWidth="1"/>
    <col min="15107" max="15107" width="13.42578125" style="4" customWidth="1"/>
    <col min="15108" max="15108" width="14" style="4" customWidth="1"/>
    <col min="15109" max="15109" width="14.5703125" style="4" customWidth="1"/>
    <col min="15110" max="15110" width="15.5703125" style="4" customWidth="1"/>
    <col min="15111" max="15356" width="8.5703125" style="4"/>
    <col min="15357" max="15357" width="19.5703125" style="4" customWidth="1"/>
    <col min="15358" max="15358" width="15.5703125" style="4" customWidth="1"/>
    <col min="15359" max="15359" width="11.5703125" style="4" customWidth="1"/>
    <col min="15360" max="15360" width="14.42578125" style="4" customWidth="1"/>
    <col min="15361" max="15361" width="12.42578125" style="4" customWidth="1"/>
    <col min="15362" max="15362" width="12.5703125" style="4" customWidth="1"/>
    <col min="15363" max="15363" width="13.42578125" style="4" customWidth="1"/>
    <col min="15364" max="15364" width="14" style="4" customWidth="1"/>
    <col min="15365" max="15365" width="14.5703125" style="4" customWidth="1"/>
    <col min="15366" max="15366" width="15.5703125" style="4" customWidth="1"/>
    <col min="15367" max="15612" width="8.5703125" style="4"/>
    <col min="15613" max="15613" width="19.5703125" style="4" customWidth="1"/>
    <col min="15614" max="15614" width="15.5703125" style="4" customWidth="1"/>
    <col min="15615" max="15615" width="11.5703125" style="4" customWidth="1"/>
    <col min="15616" max="15616" width="14.42578125" style="4" customWidth="1"/>
    <col min="15617" max="15617" width="12.42578125" style="4" customWidth="1"/>
    <col min="15618" max="15618" width="12.5703125" style="4" customWidth="1"/>
    <col min="15619" max="15619" width="13.42578125" style="4" customWidth="1"/>
    <col min="15620" max="15620" width="14" style="4" customWidth="1"/>
    <col min="15621" max="15621" width="14.5703125" style="4" customWidth="1"/>
    <col min="15622" max="15622" width="15.5703125" style="4" customWidth="1"/>
    <col min="15623" max="15868" width="8.5703125" style="4"/>
    <col min="15869" max="15869" width="19.5703125" style="4" customWidth="1"/>
    <col min="15870" max="15870" width="15.5703125" style="4" customWidth="1"/>
    <col min="15871" max="15871" width="11.5703125" style="4" customWidth="1"/>
    <col min="15872" max="15872" width="14.42578125" style="4" customWidth="1"/>
    <col min="15873" max="15873" width="12.42578125" style="4" customWidth="1"/>
    <col min="15874" max="15874" width="12.5703125" style="4" customWidth="1"/>
    <col min="15875" max="15875" width="13.42578125" style="4" customWidth="1"/>
    <col min="15876" max="15876" width="14" style="4" customWidth="1"/>
    <col min="15877" max="15877" width="14.5703125" style="4" customWidth="1"/>
    <col min="15878" max="15878" width="15.5703125" style="4" customWidth="1"/>
    <col min="15879" max="16124" width="8.5703125" style="4"/>
    <col min="16125" max="16125" width="19.5703125" style="4" customWidth="1"/>
    <col min="16126" max="16126" width="15.5703125" style="4" customWidth="1"/>
    <col min="16127" max="16127" width="11.5703125" style="4" customWidth="1"/>
    <col min="16128" max="16128" width="14.42578125" style="4" customWidth="1"/>
    <col min="16129" max="16129" width="12.42578125" style="4" customWidth="1"/>
    <col min="16130" max="16130" width="12.5703125" style="4" customWidth="1"/>
    <col min="16131" max="16131" width="13.42578125" style="4" customWidth="1"/>
    <col min="16132" max="16132" width="14" style="4" customWidth="1"/>
    <col min="16133" max="16133" width="14.5703125" style="4" customWidth="1"/>
    <col min="16134" max="16134" width="15.5703125" style="4" customWidth="1"/>
    <col min="16135" max="16382" width="8.5703125" style="4"/>
    <col min="16383" max="16384" width="8.5703125" style="4" customWidth="1"/>
  </cols>
  <sheetData>
    <row r="1" spans="1:16" ht="21.75" customHeight="1" thickBot="1" x14ac:dyDescent="0.25">
      <c r="A1" s="32"/>
      <c r="B1" s="221" t="s">
        <v>56</v>
      </c>
      <c r="C1" s="222"/>
      <c r="D1" s="222"/>
      <c r="E1" s="222"/>
      <c r="F1" s="222"/>
      <c r="G1" s="222"/>
      <c r="H1" s="222"/>
      <c r="I1" s="222"/>
      <c r="J1" s="222"/>
      <c r="K1" s="222"/>
      <c r="L1" s="222"/>
      <c r="M1" s="222"/>
      <c r="N1" s="222"/>
      <c r="O1" s="222"/>
      <c r="P1" s="222"/>
    </row>
    <row r="2" spans="1:16" ht="16.350000000000001" customHeight="1" thickBot="1" x14ac:dyDescent="0.25">
      <c r="A2" s="201" t="s">
        <v>57</v>
      </c>
      <c r="B2" s="202"/>
      <c r="C2" s="202"/>
      <c r="D2" s="202"/>
      <c r="E2" s="202"/>
      <c r="F2" s="202"/>
      <c r="G2" s="155" t="s">
        <v>58</v>
      </c>
      <c r="H2" s="155" t="s">
        <v>17</v>
      </c>
      <c r="I2" s="156" t="s">
        <v>18</v>
      </c>
      <c r="J2" s="157" t="s">
        <v>59</v>
      </c>
      <c r="K2" s="201" t="s">
        <v>60</v>
      </c>
      <c r="L2" s="202"/>
      <c r="M2" s="202"/>
      <c r="N2" s="202"/>
      <c r="O2" s="203"/>
      <c r="P2" s="231"/>
    </row>
    <row r="3" spans="1:16" ht="14.45" customHeight="1" thickBot="1" x14ac:dyDescent="0.3">
      <c r="A3" s="40" t="s">
        <v>41</v>
      </c>
      <c r="B3" s="226">
        <v>44706</v>
      </c>
      <c r="C3" s="227"/>
      <c r="D3" s="228"/>
      <c r="E3" s="229" t="s">
        <v>62</v>
      </c>
      <c r="F3" s="230"/>
      <c r="G3" s="99"/>
      <c r="H3" s="100"/>
      <c r="I3" s="100"/>
      <c r="J3" s="101"/>
      <c r="K3" s="133" t="s">
        <v>63</v>
      </c>
      <c r="L3" s="134" t="s">
        <v>64</v>
      </c>
      <c r="M3" s="135" t="s">
        <v>144</v>
      </c>
      <c r="N3" s="135" t="s">
        <v>65</v>
      </c>
      <c r="O3" s="136" t="s">
        <v>146</v>
      </c>
      <c r="P3" s="232"/>
    </row>
    <row r="4" spans="1:16" ht="15" x14ac:dyDescent="0.25">
      <c r="A4" s="41" t="s">
        <v>68</v>
      </c>
      <c r="B4" s="234"/>
      <c r="C4" s="235"/>
      <c r="D4" s="236"/>
      <c r="E4" s="237" t="s">
        <v>69</v>
      </c>
      <c r="F4" s="238"/>
      <c r="G4" s="102"/>
      <c r="H4" s="103"/>
      <c r="I4" s="103"/>
      <c r="J4" s="104"/>
      <c r="K4" s="137" t="s">
        <v>70</v>
      </c>
      <c r="L4" s="138"/>
      <c r="M4" s="139"/>
      <c r="N4" s="140"/>
      <c r="O4" s="141"/>
      <c r="P4" s="232"/>
    </row>
    <row r="5" spans="1:16" ht="15" x14ac:dyDescent="0.25">
      <c r="A5" s="41" t="s">
        <v>49</v>
      </c>
      <c r="B5" s="241">
        <f>'Work Order'!C3</f>
        <v>0</v>
      </c>
      <c r="C5" s="242" t="e">
        <v>#REF!</v>
      </c>
      <c r="D5" s="243"/>
      <c r="E5" s="244" t="s">
        <v>72</v>
      </c>
      <c r="F5" s="245"/>
      <c r="G5" s="105"/>
      <c r="H5" s="106"/>
      <c r="I5" s="106"/>
      <c r="J5" s="107"/>
      <c r="K5" s="31" t="s">
        <v>73</v>
      </c>
      <c r="L5" s="106"/>
      <c r="M5" s="142"/>
      <c r="N5" s="143"/>
      <c r="O5" s="107"/>
      <c r="P5" s="232"/>
    </row>
    <row r="6" spans="1:16" ht="15" x14ac:dyDescent="0.25">
      <c r="A6" s="41" t="s">
        <v>75</v>
      </c>
      <c r="B6" s="248">
        <f>'Work Order'!C5</f>
        <v>0</v>
      </c>
      <c r="C6" s="242" t="e">
        <v>#REF!</v>
      </c>
      <c r="D6" s="243"/>
      <c r="E6" s="237" t="s">
        <v>76</v>
      </c>
      <c r="F6" s="238"/>
      <c r="G6" s="105"/>
      <c r="H6" s="106"/>
      <c r="I6" s="106"/>
      <c r="J6" s="107"/>
      <c r="K6" s="31" t="s">
        <v>77</v>
      </c>
      <c r="L6" s="106"/>
      <c r="M6" s="142"/>
      <c r="N6" s="143"/>
      <c r="O6" s="107"/>
      <c r="P6" s="232"/>
    </row>
    <row r="7" spans="1:16" ht="15" customHeight="1" thickBot="1" x14ac:dyDescent="0.3">
      <c r="A7" s="42" t="s">
        <v>79</v>
      </c>
      <c r="B7" s="234"/>
      <c r="C7" s="235"/>
      <c r="D7" s="236"/>
      <c r="E7" s="255" t="s">
        <v>80</v>
      </c>
      <c r="F7" s="256"/>
      <c r="G7" s="108"/>
      <c r="H7" s="109"/>
      <c r="I7" s="109"/>
      <c r="J7" s="110"/>
      <c r="K7" s="144" t="s">
        <v>145</v>
      </c>
      <c r="L7" s="145"/>
      <c r="M7" s="146"/>
      <c r="N7" s="147"/>
      <c r="O7" s="148"/>
      <c r="P7" s="233"/>
    </row>
    <row r="8" spans="1:16" ht="15" customHeight="1" thickBot="1" x14ac:dyDescent="0.3">
      <c r="A8" s="43" t="s">
        <v>4</v>
      </c>
      <c r="B8" s="259">
        <f>'Work Order'!C4</f>
        <v>0</v>
      </c>
      <c r="C8" s="259"/>
      <c r="D8" s="259"/>
      <c r="E8" s="260" t="s">
        <v>82</v>
      </c>
      <c r="F8" s="261"/>
      <c r="G8" s="204"/>
      <c r="H8" s="205"/>
      <c r="I8" s="205"/>
      <c r="J8" s="205"/>
      <c r="K8" s="205"/>
      <c r="L8" s="205"/>
      <c r="M8" s="205"/>
      <c r="N8" s="205"/>
      <c r="O8" s="205"/>
      <c r="P8" s="205"/>
    </row>
    <row r="9" spans="1:16" ht="15" thickBot="1" x14ac:dyDescent="0.25"/>
    <row r="10" spans="1:16" ht="14.45" customHeight="1" x14ac:dyDescent="0.25">
      <c r="A10" s="262" t="s">
        <v>83</v>
      </c>
      <c r="B10" s="263"/>
      <c r="C10" s="266" t="s">
        <v>84</v>
      </c>
      <c r="D10" s="270"/>
      <c r="E10" s="270"/>
      <c r="F10" s="270"/>
      <c r="G10" s="270"/>
      <c r="H10" s="271"/>
      <c r="I10" s="252" t="s">
        <v>85</v>
      </c>
      <c r="J10" s="253"/>
      <c r="K10" s="254"/>
      <c r="L10" s="266" t="s">
        <v>86</v>
      </c>
      <c r="M10" s="268" t="s">
        <v>87</v>
      </c>
      <c r="N10" s="206" t="s">
        <v>147</v>
      </c>
      <c r="O10" s="207"/>
      <c r="P10" s="208"/>
    </row>
    <row r="11" spans="1:16" ht="15" thickBot="1" x14ac:dyDescent="0.25">
      <c r="A11" s="264"/>
      <c r="B11" s="265"/>
      <c r="C11" s="151" t="s">
        <v>33</v>
      </c>
      <c r="D11" s="151" t="s">
        <v>34</v>
      </c>
      <c r="E11" s="152" t="s">
        <v>35</v>
      </c>
      <c r="F11" s="152" t="s">
        <v>36</v>
      </c>
      <c r="G11" s="152" t="s">
        <v>37</v>
      </c>
      <c r="H11" s="153" t="s">
        <v>38</v>
      </c>
      <c r="I11" s="151" t="s">
        <v>39</v>
      </c>
      <c r="J11" s="152" t="s">
        <v>40</v>
      </c>
      <c r="K11" s="154" t="s">
        <v>148</v>
      </c>
      <c r="L11" s="267"/>
      <c r="M11" s="269"/>
      <c r="N11" s="209"/>
      <c r="O11" s="210"/>
      <c r="P11" s="211"/>
    </row>
    <row r="12" spans="1:16" x14ac:dyDescent="0.2">
      <c r="A12" s="45" t="s">
        <v>92</v>
      </c>
      <c r="B12" s="126"/>
      <c r="C12" s="61">
        <f>IF(June1[[#This Row],[ROAD NAME]]&lt;&gt;"",$B$3,"")</f>
        <v>44706</v>
      </c>
      <c r="D12" s="129" t="s">
        <v>342</v>
      </c>
      <c r="E12" s="71">
        <v>1701</v>
      </c>
      <c r="F12" s="71" t="s">
        <v>17</v>
      </c>
      <c r="G12" s="71">
        <v>10000</v>
      </c>
      <c r="H12" s="130">
        <v>200000</v>
      </c>
      <c r="I12" s="71">
        <v>1000</v>
      </c>
      <c r="J12" s="71">
        <v>6</v>
      </c>
      <c r="K12" s="71">
        <f>June1[[#This Row],[LENGTH (m)]]*June1[[#This Row],[WIDTH (m)]]</f>
        <v>6000</v>
      </c>
      <c r="L12" s="164">
        <f t="shared" ref="L12" si="0">G12/K12</f>
        <v>1.6666666666666667</v>
      </c>
      <c r="M12" s="165">
        <f t="shared" ref="M12" si="1">H12/K12</f>
        <v>33.333333333333336</v>
      </c>
      <c r="N12" s="209"/>
      <c r="O12" s="210"/>
      <c r="P12" s="211"/>
    </row>
    <row r="13" spans="1:16" x14ac:dyDescent="0.2">
      <c r="A13" s="21" t="s">
        <v>94</v>
      </c>
      <c r="B13" s="127"/>
      <c r="C13" s="61" t="str">
        <f>IF(June1[[#This Row],[ROAD NAME]]&lt;&gt;"",$B$3,"")</f>
        <v/>
      </c>
      <c r="D13" s="129"/>
      <c r="E13" s="71"/>
      <c r="F13" s="71"/>
      <c r="G13" s="71"/>
      <c r="H13" s="130"/>
      <c r="I13" s="71"/>
      <c r="J13" s="71"/>
      <c r="K13" s="71">
        <f>June1[[#This Row],[LENGTH (m)]]*June1[[#This Row],[WIDTH (m)]]</f>
        <v>0</v>
      </c>
      <c r="L13" s="164" t="e">
        <f t="shared" ref="L13:L23" si="2">G13/K13</f>
        <v>#DIV/0!</v>
      </c>
      <c r="M13" s="165" t="e">
        <f t="shared" ref="M13:M23" si="3">H13/K13</f>
        <v>#DIV/0!</v>
      </c>
      <c r="N13" s="209"/>
      <c r="O13" s="210"/>
      <c r="P13" s="211"/>
    </row>
    <row r="14" spans="1:16" x14ac:dyDescent="0.2">
      <c r="A14" s="35" t="s">
        <v>96</v>
      </c>
      <c r="B14" s="128"/>
      <c r="C14" s="61" t="str">
        <f>IF(June1[[#This Row],[ROAD NAME]]&lt;&gt;"",$B$3,"")</f>
        <v/>
      </c>
      <c r="D14" s="129"/>
      <c r="E14" s="71"/>
      <c r="F14" s="71"/>
      <c r="G14" s="71"/>
      <c r="H14" s="130"/>
      <c r="I14" s="71"/>
      <c r="J14" s="71"/>
      <c r="K14" s="71">
        <f>June1[[#This Row],[LENGTH (m)]]*June1[[#This Row],[WIDTH (m)]]</f>
        <v>0</v>
      </c>
      <c r="L14" s="164" t="e">
        <f t="shared" si="2"/>
        <v>#DIV/0!</v>
      </c>
      <c r="M14" s="165" t="e">
        <f t="shared" si="3"/>
        <v>#DIV/0!</v>
      </c>
      <c r="N14" s="209"/>
      <c r="O14" s="210"/>
      <c r="P14" s="211"/>
    </row>
    <row r="15" spans="1:16" ht="15" customHeight="1" x14ac:dyDescent="0.2">
      <c r="A15" s="21" t="s">
        <v>97</v>
      </c>
      <c r="B15" s="127"/>
      <c r="C15" s="61" t="str">
        <f>IF(June1[[#This Row],[ROAD NAME]]&lt;&gt;"",$B$3,"")</f>
        <v/>
      </c>
      <c r="D15" s="129"/>
      <c r="E15" s="71"/>
      <c r="F15" s="71"/>
      <c r="G15" s="71"/>
      <c r="H15" s="71"/>
      <c r="I15" s="71"/>
      <c r="J15" s="71"/>
      <c r="K15" s="71">
        <f>June1[[#This Row],[LENGTH (m)]]*June1[[#This Row],[WIDTH (m)]]</f>
        <v>0</v>
      </c>
      <c r="L15" s="164" t="e">
        <f t="shared" si="2"/>
        <v>#DIV/0!</v>
      </c>
      <c r="M15" s="165" t="e">
        <f t="shared" si="3"/>
        <v>#DIV/0!</v>
      </c>
      <c r="N15" s="209"/>
      <c r="O15" s="210"/>
      <c r="P15" s="211"/>
    </row>
    <row r="16" spans="1:16" ht="14.45" customHeight="1" x14ac:dyDescent="0.2">
      <c r="A16" s="21" t="s">
        <v>98</v>
      </c>
      <c r="B16" s="127"/>
      <c r="C16" s="61" t="str">
        <f>IF(June1[[#This Row],[ROAD NAME]]&lt;&gt;"",$B$3,"")</f>
        <v/>
      </c>
      <c r="D16" s="129"/>
      <c r="E16" s="71"/>
      <c r="F16" s="71"/>
      <c r="G16" s="71"/>
      <c r="H16" s="71"/>
      <c r="I16" s="71"/>
      <c r="J16" s="71"/>
      <c r="K16" s="71">
        <f>June1[[#This Row],[LENGTH (m)]]*June1[[#This Row],[WIDTH (m)]]</f>
        <v>0</v>
      </c>
      <c r="L16" s="164" t="e">
        <f t="shared" si="2"/>
        <v>#DIV/0!</v>
      </c>
      <c r="M16" s="165" t="e">
        <f t="shared" si="3"/>
        <v>#DIV/0!</v>
      </c>
      <c r="N16" s="209"/>
      <c r="O16" s="210"/>
      <c r="P16" s="211"/>
    </row>
    <row r="17" spans="1:16" ht="14.45" customHeight="1" x14ac:dyDescent="0.2">
      <c r="A17" s="21" t="s">
        <v>99</v>
      </c>
      <c r="B17" s="127"/>
      <c r="C17" s="61" t="str">
        <f>IF(June1[[#This Row],[ROAD NAME]]&lt;&gt;"",$B$3,"")</f>
        <v/>
      </c>
      <c r="D17" s="129"/>
      <c r="E17" s="71"/>
      <c r="F17" s="71"/>
      <c r="G17" s="71"/>
      <c r="H17" s="71"/>
      <c r="I17" s="71"/>
      <c r="J17" s="71"/>
      <c r="K17" s="71">
        <f>June1[[#This Row],[LENGTH (m)]]*June1[[#This Row],[WIDTH (m)]]</f>
        <v>0</v>
      </c>
      <c r="L17" s="164" t="e">
        <f t="shared" si="2"/>
        <v>#DIV/0!</v>
      </c>
      <c r="M17" s="165" t="e">
        <f t="shared" si="3"/>
        <v>#DIV/0!</v>
      </c>
      <c r="N17" s="209"/>
      <c r="O17" s="210"/>
      <c r="P17" s="211"/>
    </row>
    <row r="18" spans="1:16" ht="14.45" customHeight="1" x14ac:dyDescent="0.2">
      <c r="A18" s="21" t="s">
        <v>100</v>
      </c>
      <c r="B18" s="127"/>
      <c r="C18" s="61" t="str">
        <f>IF(June1[[#This Row],[ROAD NAME]]&lt;&gt;"",$B$3,"")</f>
        <v/>
      </c>
      <c r="D18" s="129"/>
      <c r="E18" s="71"/>
      <c r="F18" s="71"/>
      <c r="G18" s="71"/>
      <c r="H18" s="71"/>
      <c r="I18" s="71"/>
      <c r="J18" s="71"/>
      <c r="K18" s="71">
        <f>June1[[#This Row],[LENGTH (m)]]*June1[[#This Row],[WIDTH (m)]]</f>
        <v>0</v>
      </c>
      <c r="L18" s="164" t="e">
        <f t="shared" si="2"/>
        <v>#DIV/0!</v>
      </c>
      <c r="M18" s="165" t="e">
        <f t="shared" si="3"/>
        <v>#DIV/0!</v>
      </c>
      <c r="N18" s="209"/>
      <c r="O18" s="210"/>
      <c r="P18" s="211"/>
    </row>
    <row r="19" spans="1:16" ht="14.45" customHeight="1" x14ac:dyDescent="0.2">
      <c r="A19" s="21" t="s">
        <v>101</v>
      </c>
      <c r="B19" s="127"/>
      <c r="C19" s="61" t="str">
        <f>IF(June1[[#This Row],[ROAD NAME]]&lt;&gt;"",$B$3,"")</f>
        <v/>
      </c>
      <c r="D19" s="129"/>
      <c r="E19" s="71"/>
      <c r="F19" s="71"/>
      <c r="G19" s="71"/>
      <c r="H19" s="71"/>
      <c r="I19" s="71"/>
      <c r="J19" s="71"/>
      <c r="K19" s="71">
        <f>June1[[#This Row],[LENGTH (m)]]*June1[[#This Row],[WIDTH (m)]]</f>
        <v>0</v>
      </c>
      <c r="L19" s="164" t="e">
        <f t="shared" si="2"/>
        <v>#DIV/0!</v>
      </c>
      <c r="M19" s="165" t="e">
        <f t="shared" si="3"/>
        <v>#DIV/0!</v>
      </c>
      <c r="N19" s="209"/>
      <c r="O19" s="210"/>
      <c r="P19" s="211"/>
    </row>
    <row r="20" spans="1:16" ht="14.45" customHeight="1" x14ac:dyDescent="0.2">
      <c r="A20" s="21" t="s">
        <v>102</v>
      </c>
      <c r="B20" s="127"/>
      <c r="C20" s="61" t="str">
        <f>IF(June1[[#This Row],[ROAD NAME]]&lt;&gt;"",$B$3,"")</f>
        <v/>
      </c>
      <c r="D20" s="129"/>
      <c r="E20" s="71"/>
      <c r="F20" s="71"/>
      <c r="G20" s="71"/>
      <c r="H20" s="131"/>
      <c r="I20" s="71"/>
      <c r="J20" s="71"/>
      <c r="K20" s="71">
        <f>June1[[#This Row],[LENGTH (m)]]*June1[[#This Row],[WIDTH (m)]]</f>
        <v>0</v>
      </c>
      <c r="L20" s="164" t="e">
        <f t="shared" si="2"/>
        <v>#DIV/0!</v>
      </c>
      <c r="M20" s="165" t="e">
        <f t="shared" si="3"/>
        <v>#DIV/0!</v>
      </c>
      <c r="N20" s="209"/>
      <c r="O20" s="210"/>
      <c r="P20" s="211"/>
    </row>
    <row r="21" spans="1:16" ht="14.45" customHeight="1" x14ac:dyDescent="0.2">
      <c r="A21" s="21" t="s">
        <v>103</v>
      </c>
      <c r="B21" s="127"/>
      <c r="C21" s="61" t="str">
        <f>IF(June1[[#This Row],[ROAD NAME]]&lt;&gt;"",$B$3,"")</f>
        <v/>
      </c>
      <c r="D21" s="129"/>
      <c r="E21" s="71"/>
      <c r="F21" s="71"/>
      <c r="G21" s="71"/>
      <c r="H21" s="71"/>
      <c r="I21" s="71"/>
      <c r="J21" s="71"/>
      <c r="K21" s="71">
        <f>June1[[#This Row],[LENGTH (m)]]*June1[[#This Row],[WIDTH (m)]]</f>
        <v>0</v>
      </c>
      <c r="L21" s="164" t="e">
        <f t="shared" si="2"/>
        <v>#DIV/0!</v>
      </c>
      <c r="M21" s="165" t="e">
        <f t="shared" si="3"/>
        <v>#DIV/0!</v>
      </c>
      <c r="N21" s="209"/>
      <c r="O21" s="210"/>
      <c r="P21" s="211"/>
    </row>
    <row r="22" spans="1:16" ht="14.45" customHeight="1" x14ac:dyDescent="0.2">
      <c r="A22" s="21" t="s">
        <v>104</v>
      </c>
      <c r="B22" s="127"/>
      <c r="C22" s="61" t="str">
        <f>IF(June1[[#This Row],[ROAD NAME]]&lt;&gt;"",$B$3,"")</f>
        <v/>
      </c>
      <c r="D22" s="129"/>
      <c r="E22" s="71"/>
      <c r="F22" s="71"/>
      <c r="G22" s="71"/>
      <c r="H22" s="71"/>
      <c r="I22" s="71"/>
      <c r="J22" s="71"/>
      <c r="K22" s="71">
        <f>June1[[#This Row],[LENGTH (m)]]*June1[[#This Row],[WIDTH (m)]]</f>
        <v>0</v>
      </c>
      <c r="L22" s="164" t="e">
        <f t="shared" si="2"/>
        <v>#DIV/0!</v>
      </c>
      <c r="M22" s="165" t="e">
        <f t="shared" si="3"/>
        <v>#DIV/0!</v>
      </c>
      <c r="N22" s="209"/>
      <c r="O22" s="210"/>
      <c r="P22" s="211"/>
    </row>
    <row r="23" spans="1:16" ht="15" customHeight="1" thickBot="1" x14ac:dyDescent="0.25">
      <c r="A23" s="36" t="s">
        <v>105</v>
      </c>
      <c r="B23" s="127"/>
      <c r="C23" s="111" t="str">
        <f>IF(June1[[#This Row],[ROAD NAME]]&lt;&gt;"",$B$3,"")</f>
        <v/>
      </c>
      <c r="D23" s="132"/>
      <c r="E23" s="72"/>
      <c r="F23" s="72"/>
      <c r="G23" s="72"/>
      <c r="H23" s="72"/>
      <c r="I23" s="72"/>
      <c r="J23" s="72"/>
      <c r="K23" s="72">
        <f>June1[[#This Row],[LENGTH (m)]]*June1[[#This Row],[WIDTH (m)]]</f>
        <v>0</v>
      </c>
      <c r="L23" s="166" t="e">
        <f t="shared" si="2"/>
        <v>#DIV/0!</v>
      </c>
      <c r="M23" s="167" t="e">
        <f t="shared" si="3"/>
        <v>#DIV/0!</v>
      </c>
      <c r="N23" s="212"/>
      <c r="O23" s="213"/>
      <c r="P23" s="214"/>
    </row>
    <row r="24" spans="1:16" x14ac:dyDescent="0.2">
      <c r="A24" s="21" t="s">
        <v>106</v>
      </c>
      <c r="B24" s="33"/>
      <c r="C24" s="44" t="s">
        <v>107</v>
      </c>
    </row>
    <row r="25" spans="1:16" ht="14.45" customHeight="1" thickBot="1" x14ac:dyDescent="0.25">
      <c r="A25" s="21" t="s">
        <v>108</v>
      </c>
      <c r="B25" s="33"/>
    </row>
    <row r="26" spans="1:16" ht="15.75" thickBot="1" x14ac:dyDescent="0.3">
      <c r="A26" s="21"/>
      <c r="B26" s="33"/>
      <c r="K26" s="278" t="s">
        <v>88</v>
      </c>
      <c r="L26" s="279"/>
      <c r="M26" s="279"/>
      <c r="N26" s="280"/>
    </row>
    <row r="27" spans="1:16" ht="15.75" thickBot="1" x14ac:dyDescent="0.3">
      <c r="A27" s="21"/>
      <c r="B27" s="33"/>
      <c r="D27" s="32"/>
      <c r="E27" s="51"/>
      <c r="F27" s="66" t="s">
        <v>114</v>
      </c>
      <c r="G27" s="149" t="s">
        <v>115</v>
      </c>
      <c r="H27" s="150" t="s">
        <v>116</v>
      </c>
      <c r="I27" s="150" t="s">
        <v>117</v>
      </c>
      <c r="K27" s="49" t="s">
        <v>110</v>
      </c>
      <c r="L27" s="281"/>
      <c r="M27" s="282"/>
      <c r="N27" s="283"/>
    </row>
    <row r="28" spans="1:16" ht="15.75" thickBot="1" x14ac:dyDescent="0.25">
      <c r="A28" s="21"/>
      <c r="B28" s="33"/>
      <c r="D28" s="274" t="s">
        <v>118</v>
      </c>
      <c r="E28" s="275"/>
      <c r="F28" s="158"/>
      <c r="G28" s="159"/>
      <c r="H28" s="160"/>
      <c r="I28" s="160"/>
      <c r="K28" s="50" t="s">
        <v>111</v>
      </c>
      <c r="L28" s="249"/>
      <c r="M28" s="250"/>
      <c r="N28" s="251"/>
    </row>
    <row r="29" spans="1:16" ht="15.75" thickBot="1" x14ac:dyDescent="0.3">
      <c r="A29" s="21"/>
      <c r="B29" s="33"/>
      <c r="D29" s="276" t="s">
        <v>119</v>
      </c>
      <c r="E29" s="277"/>
      <c r="F29" s="161"/>
      <c r="G29" s="162"/>
      <c r="H29" s="163"/>
      <c r="I29" s="163"/>
      <c r="K29" s="252" t="s">
        <v>112</v>
      </c>
      <c r="L29" s="253"/>
      <c r="M29" s="253"/>
      <c r="N29" s="254"/>
    </row>
    <row r="30" spans="1:16" ht="15.75" thickBot="1" x14ac:dyDescent="0.3">
      <c r="A30" s="21"/>
      <c r="B30" s="33"/>
      <c r="C30" s="65"/>
      <c r="K30" s="52" t="s">
        <v>113</v>
      </c>
      <c r="L30" s="272"/>
      <c r="M30" s="272"/>
      <c r="N30" s="273"/>
    </row>
    <row r="31" spans="1:16" ht="14.1" customHeight="1" thickBot="1" x14ac:dyDescent="0.25">
      <c r="A31" s="21"/>
      <c r="B31" s="33"/>
      <c r="C31" s="65"/>
      <c r="K31" s="112"/>
      <c r="L31" s="112"/>
      <c r="M31" s="112"/>
      <c r="N31" s="112"/>
      <c r="P31" s="59"/>
    </row>
    <row r="32" spans="1:16" ht="14.45" customHeight="1" thickBot="1" x14ac:dyDescent="0.3">
      <c r="A32" s="21"/>
      <c r="B32" s="33"/>
      <c r="D32" s="198" t="s">
        <v>88</v>
      </c>
      <c r="E32" s="199"/>
      <c r="F32" s="199"/>
      <c r="G32" s="199"/>
      <c r="H32" s="199"/>
      <c r="I32" s="200"/>
      <c r="K32" s="223" t="s">
        <v>61</v>
      </c>
      <c r="L32" s="224"/>
      <c r="M32" s="224"/>
      <c r="N32" s="225"/>
    </row>
    <row r="33" spans="1:14" ht="14.45" customHeight="1" thickBot="1" x14ac:dyDescent="0.3">
      <c r="A33" s="21"/>
      <c r="B33" s="33"/>
      <c r="D33" s="114"/>
      <c r="E33" s="115" t="s">
        <v>89</v>
      </c>
      <c r="F33" s="116" t="s">
        <v>90</v>
      </c>
      <c r="G33" s="119" t="s">
        <v>143</v>
      </c>
      <c r="H33" s="217" t="s">
        <v>91</v>
      </c>
      <c r="I33" s="218"/>
      <c r="K33" s="46" t="s">
        <v>66</v>
      </c>
      <c r="L33" s="219" t="s">
        <v>67</v>
      </c>
      <c r="M33" s="219"/>
      <c r="N33" s="220"/>
    </row>
    <row r="34" spans="1:14" ht="15" customHeight="1" thickBot="1" x14ac:dyDescent="0.3">
      <c r="A34" s="22"/>
      <c r="B34" s="34"/>
      <c r="D34" s="56" t="s">
        <v>93</v>
      </c>
      <c r="E34" s="120"/>
      <c r="F34" s="121"/>
      <c r="G34" s="122"/>
      <c r="H34" s="215"/>
      <c r="I34" s="216"/>
      <c r="K34" s="63" t="s">
        <v>71</v>
      </c>
      <c r="L34" s="239"/>
      <c r="M34" s="239"/>
      <c r="N34" s="240"/>
    </row>
    <row r="35" spans="1:14" ht="15" customHeight="1" x14ac:dyDescent="0.25">
      <c r="D35" s="57" t="s">
        <v>95</v>
      </c>
      <c r="E35" s="123"/>
      <c r="F35" s="121"/>
      <c r="G35" s="122"/>
      <c r="H35" s="215"/>
      <c r="I35" s="216"/>
      <c r="K35" s="62" t="s">
        <v>74</v>
      </c>
      <c r="L35" s="246"/>
      <c r="M35" s="246"/>
      <c r="N35" s="247"/>
    </row>
    <row r="36" spans="1:14" ht="15" customHeight="1" thickBot="1" x14ac:dyDescent="0.25">
      <c r="D36" s="36"/>
      <c r="E36" s="117"/>
      <c r="F36" s="117"/>
      <c r="G36" s="117"/>
      <c r="H36" s="215"/>
      <c r="I36" s="216"/>
      <c r="K36" s="62" t="s">
        <v>78</v>
      </c>
      <c r="L36" s="246"/>
      <c r="M36" s="246"/>
      <c r="N36" s="247"/>
    </row>
    <row r="37" spans="1:14" ht="15" customHeight="1" thickBot="1" x14ac:dyDescent="0.3">
      <c r="D37" s="53"/>
      <c r="E37" s="54" t="s">
        <v>89</v>
      </c>
      <c r="F37" s="55" t="s">
        <v>90</v>
      </c>
      <c r="G37" s="118" t="s">
        <v>143</v>
      </c>
      <c r="H37" s="215"/>
      <c r="I37" s="216"/>
      <c r="K37" s="64" t="s">
        <v>81</v>
      </c>
      <c r="L37" s="257"/>
      <c r="M37" s="257"/>
      <c r="N37" s="258"/>
    </row>
    <row r="38" spans="1:14" ht="15" customHeight="1" x14ac:dyDescent="0.25">
      <c r="D38" s="56" t="s">
        <v>93</v>
      </c>
      <c r="E38" s="120"/>
      <c r="F38" s="124"/>
      <c r="G38" s="122"/>
      <c r="H38" s="215"/>
      <c r="I38" s="216"/>
      <c r="K38" s="113"/>
      <c r="L38" s="113"/>
      <c r="M38" s="113"/>
      <c r="N38" s="113"/>
    </row>
    <row r="39" spans="1:14" ht="14.45" customHeight="1" x14ac:dyDescent="0.25">
      <c r="D39" s="57" t="s">
        <v>95</v>
      </c>
      <c r="E39" s="123"/>
      <c r="F39" s="124"/>
      <c r="G39" s="122"/>
      <c r="H39" s="215"/>
      <c r="I39" s="216"/>
      <c r="K39" s="113"/>
      <c r="L39" s="113"/>
      <c r="M39" s="113"/>
      <c r="N39" s="113"/>
    </row>
    <row r="40" spans="1:14" ht="14.45" customHeight="1" thickBot="1" x14ac:dyDescent="0.25">
      <c r="D40" s="36"/>
      <c r="E40" s="117"/>
      <c r="F40" s="117"/>
      <c r="G40" s="117"/>
      <c r="H40" s="215"/>
      <c r="I40" s="216"/>
      <c r="K40" s="113"/>
      <c r="L40" s="113"/>
      <c r="M40" s="113"/>
      <c r="N40" s="113"/>
    </row>
    <row r="41" spans="1:14" ht="30.75" thickBot="1" x14ac:dyDescent="0.3">
      <c r="D41" s="53"/>
      <c r="E41" s="54" t="s">
        <v>89</v>
      </c>
      <c r="F41" s="55" t="s">
        <v>90</v>
      </c>
      <c r="G41" s="118" t="s">
        <v>143</v>
      </c>
      <c r="H41" s="215"/>
      <c r="I41" s="216"/>
    </row>
    <row r="42" spans="1:14" ht="15" x14ac:dyDescent="0.25">
      <c r="D42" s="56" t="s">
        <v>93</v>
      </c>
      <c r="E42" s="120"/>
      <c r="F42" s="120"/>
      <c r="G42" s="122"/>
      <c r="H42" s="215"/>
      <c r="I42" s="216"/>
    </row>
    <row r="43" spans="1:14" ht="15.75" thickBot="1" x14ac:dyDescent="0.3">
      <c r="D43" s="57" t="s">
        <v>95</v>
      </c>
      <c r="E43" s="123"/>
      <c r="F43" s="123"/>
      <c r="G43" s="125"/>
      <c r="H43" s="196"/>
      <c r="I43" s="197"/>
    </row>
  </sheetData>
  <mergeCells count="48">
    <mergeCell ref="L36:N36"/>
    <mergeCell ref="B7:D7"/>
    <mergeCell ref="E7:F7"/>
    <mergeCell ref="L37:N37"/>
    <mergeCell ref="B8:D8"/>
    <mergeCell ref="E8:F8"/>
    <mergeCell ref="A10:B11"/>
    <mergeCell ref="I10:K10"/>
    <mergeCell ref="L10:L11"/>
    <mergeCell ref="M10:M11"/>
    <mergeCell ref="C10:H10"/>
    <mergeCell ref="L30:N30"/>
    <mergeCell ref="D28:E28"/>
    <mergeCell ref="D29:E29"/>
    <mergeCell ref="K26:N26"/>
    <mergeCell ref="L27:N27"/>
    <mergeCell ref="L34:N34"/>
    <mergeCell ref="B5:D5"/>
    <mergeCell ref="E5:F5"/>
    <mergeCell ref="L35:N35"/>
    <mergeCell ref="B6:D6"/>
    <mergeCell ref="E6:F6"/>
    <mergeCell ref="L28:N28"/>
    <mergeCell ref="K29:N29"/>
    <mergeCell ref="B1:P1"/>
    <mergeCell ref="A2:F2"/>
    <mergeCell ref="K32:N32"/>
    <mergeCell ref="B3:D3"/>
    <mergeCell ref="E3:F3"/>
    <mergeCell ref="P2:P7"/>
    <mergeCell ref="B4:D4"/>
    <mergeCell ref="E4:F4"/>
    <mergeCell ref="H43:I43"/>
    <mergeCell ref="D32:I32"/>
    <mergeCell ref="K2:O2"/>
    <mergeCell ref="G8:P8"/>
    <mergeCell ref="N10:P23"/>
    <mergeCell ref="H38:I38"/>
    <mergeCell ref="H39:I39"/>
    <mergeCell ref="H40:I40"/>
    <mergeCell ref="H41:I41"/>
    <mergeCell ref="H42:I42"/>
    <mergeCell ref="H33:I33"/>
    <mergeCell ref="H34:I34"/>
    <mergeCell ref="H35:I35"/>
    <mergeCell ref="H36:I36"/>
    <mergeCell ref="H37:I37"/>
    <mergeCell ref="L33:N33"/>
  </mergeCells>
  <pageMargins left="0.7" right="0.7" top="0.75" bottom="0.75" header="0.3" footer="0.3"/>
  <pageSetup scale="33" orientation="landscape"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5C5FD-5B0F-4507-B430-1C1B38733975}">
  <sheetPr>
    <tabColor theme="9" tint="0.79998168889431442"/>
  </sheetPr>
  <dimension ref="A1:F30"/>
  <sheetViews>
    <sheetView zoomScale="70" zoomScaleNormal="70" workbookViewId="0">
      <selection activeCell="F25" sqref="F25"/>
    </sheetView>
  </sheetViews>
  <sheetFormatPr defaultRowHeight="15" x14ac:dyDescent="0.25"/>
  <cols>
    <col min="1" max="1" width="60" bestFit="1" customWidth="1"/>
    <col min="2" max="2" width="42.140625" bestFit="1" customWidth="1"/>
    <col min="3" max="3" width="51.42578125" bestFit="1" customWidth="1"/>
    <col min="4" max="4" width="50.28515625" bestFit="1" customWidth="1"/>
    <col min="5" max="5" width="43.42578125" bestFit="1" customWidth="1"/>
    <col min="6" max="6" width="25.28515625" bestFit="1" customWidth="1"/>
    <col min="7" max="7" width="31" bestFit="1" customWidth="1"/>
  </cols>
  <sheetData>
    <row r="1" spans="1:6" ht="33.75" x14ac:dyDescent="0.5">
      <c r="A1" s="284" t="s">
        <v>149</v>
      </c>
      <c r="B1" s="284"/>
      <c r="C1" s="284"/>
      <c r="D1" s="284"/>
      <c r="E1" s="284"/>
      <c r="F1" s="284"/>
    </row>
    <row r="2" spans="1:6" ht="26.25" x14ac:dyDescent="0.25">
      <c r="A2" s="168" t="s">
        <v>150</v>
      </c>
      <c r="B2" s="168" t="s">
        <v>151</v>
      </c>
      <c r="C2" s="168" t="s">
        <v>152</v>
      </c>
      <c r="D2" s="168" t="s">
        <v>153</v>
      </c>
      <c r="E2" s="168" t="s">
        <v>154</v>
      </c>
      <c r="F2" s="168" t="s">
        <v>155</v>
      </c>
    </row>
    <row r="3" spans="1:6" ht="26.25" x14ac:dyDescent="0.25">
      <c r="A3" s="168" t="s">
        <v>156</v>
      </c>
      <c r="B3" s="168" t="s">
        <v>157</v>
      </c>
      <c r="C3" s="168" t="s">
        <v>158</v>
      </c>
      <c r="D3" s="168" t="s">
        <v>159</v>
      </c>
      <c r="E3" s="168" t="s">
        <v>160</v>
      </c>
      <c r="F3" s="168" t="s">
        <v>161</v>
      </c>
    </row>
    <row r="4" spans="1:6" ht="26.25" x14ac:dyDescent="0.25">
      <c r="A4" s="168" t="s">
        <v>162</v>
      </c>
      <c r="B4" s="168" t="s">
        <v>163</v>
      </c>
      <c r="C4" s="168" t="s">
        <v>164</v>
      </c>
      <c r="D4" s="168" t="s">
        <v>165</v>
      </c>
      <c r="E4" s="168" t="s">
        <v>166</v>
      </c>
      <c r="F4" s="168" t="s">
        <v>167</v>
      </c>
    </row>
    <row r="5" spans="1:6" ht="26.25" x14ac:dyDescent="0.25">
      <c r="A5" s="168" t="s">
        <v>168</v>
      </c>
      <c r="B5" s="168" t="s">
        <v>169</v>
      </c>
      <c r="C5" s="168" t="s">
        <v>170</v>
      </c>
      <c r="D5" s="168" t="s">
        <v>171</v>
      </c>
      <c r="E5" s="168" t="s">
        <v>172</v>
      </c>
      <c r="F5" s="168" t="s">
        <v>173</v>
      </c>
    </row>
    <row r="6" spans="1:6" ht="26.25" x14ac:dyDescent="0.25">
      <c r="A6" s="168" t="s">
        <v>174</v>
      </c>
      <c r="B6" s="168" t="s">
        <v>175</v>
      </c>
      <c r="C6" s="168" t="s">
        <v>176</v>
      </c>
      <c r="D6" s="168" t="s">
        <v>177</v>
      </c>
      <c r="E6" s="168" t="s">
        <v>178</v>
      </c>
      <c r="F6" s="168" t="s">
        <v>179</v>
      </c>
    </row>
    <row r="7" spans="1:6" ht="26.25" x14ac:dyDescent="0.25">
      <c r="A7" s="168" t="s">
        <v>180</v>
      </c>
      <c r="B7" s="168" t="s">
        <v>181</v>
      </c>
      <c r="C7" s="168" t="s">
        <v>182</v>
      </c>
      <c r="D7" s="168" t="s">
        <v>183</v>
      </c>
      <c r="E7" s="168" t="s">
        <v>184</v>
      </c>
      <c r="F7" s="168" t="s">
        <v>185</v>
      </c>
    </row>
    <row r="8" spans="1:6" ht="26.25" x14ac:dyDescent="0.25">
      <c r="A8" s="168" t="s">
        <v>186</v>
      </c>
      <c r="B8" s="168" t="s">
        <v>187</v>
      </c>
      <c r="C8" s="168" t="s">
        <v>188</v>
      </c>
      <c r="D8" s="168" t="s">
        <v>189</v>
      </c>
      <c r="E8" s="168" t="s">
        <v>190</v>
      </c>
      <c r="F8" s="168" t="s">
        <v>191</v>
      </c>
    </row>
    <row r="9" spans="1:6" ht="26.25" x14ac:dyDescent="0.25">
      <c r="A9" s="168" t="s">
        <v>192</v>
      </c>
      <c r="B9" s="168" t="s">
        <v>193</v>
      </c>
      <c r="C9" s="168" t="s">
        <v>194</v>
      </c>
      <c r="D9" s="168" t="s">
        <v>195</v>
      </c>
      <c r="E9" s="168" t="s">
        <v>196</v>
      </c>
      <c r="F9" s="168" t="s">
        <v>197</v>
      </c>
    </row>
    <row r="10" spans="1:6" ht="26.25" x14ac:dyDescent="0.25">
      <c r="A10" s="168" t="s">
        <v>198</v>
      </c>
      <c r="B10" s="168" t="s">
        <v>199</v>
      </c>
      <c r="C10" s="168" t="s">
        <v>200</v>
      </c>
      <c r="D10" s="168" t="s">
        <v>201</v>
      </c>
      <c r="E10" s="168" t="s">
        <v>202</v>
      </c>
      <c r="F10" s="168" t="s">
        <v>203</v>
      </c>
    </row>
    <row r="11" spans="1:6" ht="26.25" x14ac:dyDescent="0.25">
      <c r="A11" s="168" t="s">
        <v>204</v>
      </c>
      <c r="B11" s="168" t="s">
        <v>205</v>
      </c>
      <c r="C11" s="168" t="s">
        <v>206</v>
      </c>
      <c r="D11" s="168" t="s">
        <v>207</v>
      </c>
      <c r="E11" s="168" t="s">
        <v>208</v>
      </c>
      <c r="F11" s="168" t="s">
        <v>209</v>
      </c>
    </row>
    <row r="12" spans="1:6" ht="26.25" x14ac:dyDescent="0.25">
      <c r="A12" s="168" t="s">
        <v>210</v>
      </c>
      <c r="B12" s="168" t="s">
        <v>211</v>
      </c>
      <c r="C12" s="168" t="s">
        <v>212</v>
      </c>
      <c r="D12" s="168" t="s">
        <v>213</v>
      </c>
      <c r="E12" s="168" t="s">
        <v>214</v>
      </c>
      <c r="F12" s="168" t="s">
        <v>215</v>
      </c>
    </row>
    <row r="13" spans="1:6" ht="26.25" x14ac:dyDescent="0.25">
      <c r="A13" s="168" t="s">
        <v>216</v>
      </c>
      <c r="B13" s="168" t="s">
        <v>217</v>
      </c>
      <c r="C13" s="168" t="s">
        <v>218</v>
      </c>
      <c r="D13" s="168" t="s">
        <v>219</v>
      </c>
      <c r="E13" s="168" t="s">
        <v>220</v>
      </c>
      <c r="F13" s="168" t="s">
        <v>221</v>
      </c>
    </row>
    <row r="14" spans="1:6" ht="26.25" x14ac:dyDescent="0.25">
      <c r="A14" s="168" t="s">
        <v>222</v>
      </c>
      <c r="B14" s="168" t="s">
        <v>223</v>
      </c>
      <c r="C14" s="168" t="s">
        <v>224</v>
      </c>
      <c r="D14" s="168" t="s">
        <v>225</v>
      </c>
      <c r="E14" s="168" t="s">
        <v>226</v>
      </c>
      <c r="F14" s="168" t="s">
        <v>227</v>
      </c>
    </row>
    <row r="15" spans="1:6" ht="26.25" x14ac:dyDescent="0.25">
      <c r="A15" s="168" t="s">
        <v>228</v>
      </c>
      <c r="B15" s="168" t="s">
        <v>229</v>
      </c>
      <c r="C15" s="168" t="s">
        <v>230</v>
      </c>
      <c r="D15" s="168" t="s">
        <v>231</v>
      </c>
      <c r="E15" s="168" t="s">
        <v>232</v>
      </c>
      <c r="F15" s="168" t="s">
        <v>233</v>
      </c>
    </row>
    <row r="16" spans="1:6" ht="26.25" x14ac:dyDescent="0.25">
      <c r="A16" s="168" t="s">
        <v>234</v>
      </c>
      <c r="B16" s="168" t="s">
        <v>235</v>
      </c>
      <c r="C16" s="168" t="s">
        <v>236</v>
      </c>
      <c r="D16" s="168" t="s">
        <v>237</v>
      </c>
      <c r="E16" s="168" t="s">
        <v>238</v>
      </c>
      <c r="F16" s="168" t="s">
        <v>239</v>
      </c>
    </row>
    <row r="17" spans="1:6" ht="26.25" x14ac:dyDescent="0.25">
      <c r="A17" s="168" t="s">
        <v>240</v>
      </c>
      <c r="B17" s="168" t="s">
        <v>241</v>
      </c>
      <c r="C17" s="168" t="s">
        <v>242</v>
      </c>
      <c r="D17" s="168" t="s">
        <v>243</v>
      </c>
      <c r="E17" s="168" t="s">
        <v>244</v>
      </c>
      <c r="F17" s="168" t="s">
        <v>245</v>
      </c>
    </row>
    <row r="18" spans="1:6" ht="26.25" x14ac:dyDescent="0.25">
      <c r="A18" s="168" t="s">
        <v>246</v>
      </c>
      <c r="B18" s="168" t="s">
        <v>247</v>
      </c>
      <c r="C18" s="168" t="s">
        <v>248</v>
      </c>
      <c r="D18" s="168" t="s">
        <v>249</v>
      </c>
      <c r="E18" s="168" t="s">
        <v>250</v>
      </c>
      <c r="F18" s="168" t="s">
        <v>251</v>
      </c>
    </row>
    <row r="19" spans="1:6" ht="26.25" x14ac:dyDescent="0.25">
      <c r="A19" s="168" t="s">
        <v>252</v>
      </c>
      <c r="B19" s="168" t="s">
        <v>253</v>
      </c>
      <c r="C19" s="168" t="s">
        <v>254</v>
      </c>
      <c r="D19" s="168" t="s">
        <v>255</v>
      </c>
      <c r="E19" s="168" t="s">
        <v>256</v>
      </c>
      <c r="F19" s="168" t="s">
        <v>257</v>
      </c>
    </row>
    <row r="20" spans="1:6" ht="26.25" x14ac:dyDescent="0.25">
      <c r="A20" s="168" t="s">
        <v>258</v>
      </c>
      <c r="B20" s="168" t="s">
        <v>259</v>
      </c>
      <c r="C20" s="168" t="s">
        <v>260</v>
      </c>
      <c r="D20" s="168" t="s">
        <v>261</v>
      </c>
      <c r="E20" s="168" t="s">
        <v>262</v>
      </c>
      <c r="F20" s="168" t="s">
        <v>263</v>
      </c>
    </row>
    <row r="21" spans="1:6" ht="26.25" x14ac:dyDescent="0.25">
      <c r="A21" s="168" t="s">
        <v>264</v>
      </c>
      <c r="B21" s="168" t="s">
        <v>265</v>
      </c>
      <c r="C21" s="168" t="s">
        <v>266</v>
      </c>
      <c r="D21" s="168" t="s">
        <v>267</v>
      </c>
      <c r="E21" s="168" t="s">
        <v>268</v>
      </c>
      <c r="F21" s="168" t="s">
        <v>269</v>
      </c>
    </row>
    <row r="22" spans="1:6" ht="26.25" x14ac:dyDescent="0.25">
      <c r="A22" s="168" t="s">
        <v>270</v>
      </c>
      <c r="B22" s="168" t="s">
        <v>271</v>
      </c>
      <c r="C22" s="168" t="s">
        <v>272</v>
      </c>
      <c r="D22" s="168" t="s">
        <v>273</v>
      </c>
      <c r="E22" s="168" t="s">
        <v>274</v>
      </c>
      <c r="F22" s="168" t="s">
        <v>275</v>
      </c>
    </row>
    <row r="23" spans="1:6" ht="26.25" x14ac:dyDescent="0.25">
      <c r="A23" s="168" t="s">
        <v>276</v>
      </c>
      <c r="B23" s="168" t="s">
        <v>277</v>
      </c>
      <c r="C23" s="168" t="s">
        <v>278</v>
      </c>
      <c r="D23" s="168" t="s">
        <v>279</v>
      </c>
      <c r="E23" s="168" t="s">
        <v>280</v>
      </c>
      <c r="F23" s="168" t="s">
        <v>281</v>
      </c>
    </row>
    <row r="24" spans="1:6" ht="26.25" x14ac:dyDescent="0.25">
      <c r="A24" s="168" t="s">
        <v>282</v>
      </c>
      <c r="B24" s="168" t="s">
        <v>283</v>
      </c>
      <c r="C24" s="168" t="s">
        <v>284</v>
      </c>
      <c r="D24" s="168" t="s">
        <v>285</v>
      </c>
      <c r="E24" s="168" t="s">
        <v>286</v>
      </c>
      <c r="F24" s="168" t="s">
        <v>287</v>
      </c>
    </row>
    <row r="25" spans="1:6" ht="26.25" x14ac:dyDescent="0.25">
      <c r="A25" s="168" t="s">
        <v>288</v>
      </c>
      <c r="B25" s="168" t="s">
        <v>289</v>
      </c>
      <c r="C25" s="168" t="s">
        <v>290</v>
      </c>
      <c r="D25" s="168" t="s">
        <v>291</v>
      </c>
      <c r="E25" s="168" t="s">
        <v>292</v>
      </c>
      <c r="F25" s="168" t="s">
        <v>293</v>
      </c>
    </row>
    <row r="26" spans="1:6" ht="26.25" x14ac:dyDescent="0.25">
      <c r="A26" s="168" t="s">
        <v>294</v>
      </c>
      <c r="B26" s="168" t="s">
        <v>295</v>
      </c>
      <c r="C26" s="168" t="s">
        <v>296</v>
      </c>
      <c r="D26" s="168" t="s">
        <v>297</v>
      </c>
      <c r="E26" s="168" t="s">
        <v>298</v>
      </c>
      <c r="F26" s="168" t="s">
        <v>299</v>
      </c>
    </row>
    <row r="27" spans="1:6" ht="26.25" x14ac:dyDescent="0.25">
      <c r="A27" s="168" t="s">
        <v>300</v>
      </c>
      <c r="B27" s="168" t="s">
        <v>301</v>
      </c>
      <c r="C27" s="168" t="s">
        <v>302</v>
      </c>
      <c r="D27" s="168" t="s">
        <v>303</v>
      </c>
      <c r="E27" s="168" t="s">
        <v>304</v>
      </c>
      <c r="F27" s="169"/>
    </row>
    <row r="28" spans="1:6" ht="26.25" x14ac:dyDescent="0.25">
      <c r="A28" s="168" t="s">
        <v>305</v>
      </c>
      <c r="B28" s="168" t="s">
        <v>306</v>
      </c>
      <c r="C28" s="168" t="s">
        <v>307</v>
      </c>
      <c r="D28" s="168" t="s">
        <v>308</v>
      </c>
      <c r="E28" s="168" t="s">
        <v>309</v>
      </c>
      <c r="F28" s="169"/>
    </row>
    <row r="29" spans="1:6" ht="26.25" x14ac:dyDescent="0.25">
      <c r="A29" s="168" t="s">
        <v>310</v>
      </c>
      <c r="B29" s="168" t="s">
        <v>311</v>
      </c>
      <c r="C29" s="168" t="s">
        <v>312</v>
      </c>
      <c r="D29" s="168" t="s">
        <v>313</v>
      </c>
      <c r="E29" s="168" t="s">
        <v>314</v>
      </c>
      <c r="F29" s="169"/>
    </row>
    <row r="30" spans="1:6" ht="26.25" x14ac:dyDescent="0.25">
      <c r="A30" s="168" t="s">
        <v>315</v>
      </c>
      <c r="B30" s="168" t="s">
        <v>316</v>
      </c>
      <c r="C30" s="168" t="s">
        <v>317</v>
      </c>
      <c r="D30" s="168" t="s">
        <v>318</v>
      </c>
      <c r="E30" s="168" t="s">
        <v>319</v>
      </c>
      <c r="F30" s="169"/>
    </row>
  </sheetData>
  <mergeCells count="1">
    <mergeCell ref="A1:F1"/>
  </mergeCells>
  <conditionalFormatting sqref="F2:F26 A2:E30">
    <cfRule type="duplicateValues" dxfId="9" priority="1"/>
  </conditionalFormatting>
  <hyperlinks>
    <hyperlink ref="A3" r:id="rId1" display="https://weather.gc.ca/city/pages/on-1_metric_e.html" xr:uid="{A514D5CC-D4D0-41F5-9275-34558FED5705}"/>
    <hyperlink ref="A4" r:id="rId2" display="https://weather.gc.ca/city/pages/on-29_metric_e.html" xr:uid="{CA4833CD-3162-47A8-912B-E3F8D5935970}"/>
    <hyperlink ref="A5" r:id="rId3" display="https://weather.gc.ca/city/pages/on-114_metric_e.html" xr:uid="{CD20AC8C-6DA8-4E9D-8D83-37E65DF21CD9}"/>
    <hyperlink ref="A6" r:id="rId4" display="https://weather.gc.ca/city/pages/on-30_metric_e.html" xr:uid="{D2D8F5F8-E8F2-4370-B225-4539CD049162}"/>
    <hyperlink ref="A7" r:id="rId5" display="https://weather.gc.ca/city/pages/on-111_metric_e.html" xr:uid="{AB2FB5AA-816B-4FB5-8DEC-1C4C7079F888}"/>
    <hyperlink ref="A8" r:id="rId6" display="https://weather.gc.ca/city/pages/on-148_metric_e.html" xr:uid="{55A4289C-3908-4909-9ABF-8ADA1ED58FC5}"/>
    <hyperlink ref="A9" r:id="rId7" display="https://weather.gc.ca/city/pages/on-164_metric_e.html" xr:uid="{BE691270-2C23-42CE-B8CD-751368CA7716}"/>
    <hyperlink ref="A10" r:id="rId8" display="https://weather.gc.ca/city/pages/on-102_metric_e.html" xr:uid="{B0E95DA7-5386-448E-A269-030859B94E4D}"/>
    <hyperlink ref="A11" r:id="rId9" display="https://weather.gc.ca/city/pages/on-151_metric_e.html" xr:uid="{86759ABA-F81E-4F1A-8B92-E8D138EDBB3A}"/>
    <hyperlink ref="A12" r:id="rId10" display="https://weather.gc.ca/city/pages/on-133_metric_e.html" xr:uid="{E1D12BEE-6568-468B-BECA-17DB69869FB1}"/>
    <hyperlink ref="A13" r:id="rId11" display="https://weather.gc.ca/city/pages/on-3_metric_e.html" xr:uid="{F51BC650-CD6A-4C3A-99AD-266082A74682}"/>
    <hyperlink ref="A14" r:id="rId12" display="https://weather.gc.ca/city/pages/on-124_metric_e.html" xr:uid="{CEA09D74-7195-4235-A9F4-899DFB6564F3}"/>
    <hyperlink ref="A15" r:id="rId13" display="https://weather.gc.ca/city/pages/on-21_metric_e.html" xr:uid="{79FDA473-09C0-4788-BCB8-86EE86EDAD41}"/>
    <hyperlink ref="A16" r:id="rId14" display="https://weather.gc.ca/city/pages/on-9_metric_e.html" xr:uid="{A3FAF8C6-CB12-4D41-B3E7-AFBE71FE7E1B}"/>
    <hyperlink ref="A17" r:id="rId15" display="https://weather.gc.ca/city/pages/on-4_metric_e.html" xr:uid="{5550DE05-9D6A-4E39-AB03-86485A462D6E}"/>
    <hyperlink ref="A18" r:id="rId16" display="https://weather.gc.ca/city/pages/on-86_metric_e.html" xr:uid="{8522C7C5-5A7C-4E92-9B5E-6B86330F9EDE}"/>
    <hyperlink ref="A19" r:id="rId17" display="https://weather.gc.ca/city/pages/on-8_metric_e.html" xr:uid="{84D287F4-C0EB-48A2-A5B6-02C24E7AF150}"/>
    <hyperlink ref="A20" r:id="rId18" display="https://weather.gc.ca/city/pages/on-31_metric_e.html" xr:uid="{57AC9B18-606B-4995-938C-5C2084D59B4C}"/>
    <hyperlink ref="A21" r:id="rId19" display="https://weather.gc.ca/city/pages/on-95_metric_e.html" xr:uid="{BDDA89B0-7F70-4431-BFF8-018100EED952}"/>
    <hyperlink ref="A22" r:id="rId20" display="https://weather.gc.ca/city/pages/on-32_metric_e.html" xr:uid="{F97C7788-43ED-4790-9C2A-31F09B115480}"/>
    <hyperlink ref="A23" r:id="rId21" display="https://weather.gc.ca/city/pages/on-81_metric_e.html" xr:uid="{6B813AD6-F24A-4BEB-B358-88541153FFA7}"/>
    <hyperlink ref="A24" r:id="rId22" display="https://weather.gc.ca/city/pages/on-91_metric_e.html" xr:uid="{C401970A-EB45-4BDB-8365-82EB793279FE}"/>
    <hyperlink ref="A25" r:id="rId23" display="https://weather.gc.ca/city/pages/on-11_metric_e.html" xr:uid="{A00BFCE4-443D-4A25-8FD7-BA611A771F54}"/>
    <hyperlink ref="A26" r:id="rId24" display="https://weather.gc.ca/city/pages/on-75_metric_e.html" xr:uid="{A9035C66-54FF-4BE3-A145-C5004F87B54B}"/>
    <hyperlink ref="A27" r:id="rId25" display="https://weather.gc.ca/city/pages/on-33_metric_e.html" xr:uid="{EEA1F45E-9B12-4C04-805C-D35C257CEB75}"/>
    <hyperlink ref="A28" r:id="rId26" display="https://weather.gc.ca/city/pages/on-150_metric_e.html" xr:uid="{41832E39-0F77-4FAB-9F14-6A78629255EF}"/>
    <hyperlink ref="A29" r:id="rId27" display="https://weather.gc.ca/city/pages/on-152_metric_e.html" xr:uid="{7035D188-33A8-4AC0-BC64-D5D80338CAC5}"/>
    <hyperlink ref="A30" r:id="rId28" display="https://weather.gc.ca/city/pages/on-83_metric_e.html" xr:uid="{6BF0945F-17CC-44CF-BB95-6C5B53343409}"/>
    <hyperlink ref="B2" r:id="rId29" display="https://weather.gc.ca/city/pages/on-34_metric_e.html" xr:uid="{5082BD7F-05A6-4D7D-86C5-0CAE583633D2}"/>
    <hyperlink ref="B3" r:id="rId30" display="https://weather.gc.ca/city/pages/on-72_metric_e.html" xr:uid="{CED83047-851A-4A60-9FA8-EAAB938C655D}"/>
    <hyperlink ref="B4" r:id="rId31" display="https://weather.gc.ca/city/pages/on-35_metric_e.html" xr:uid="{FB99F4D8-C452-498C-9B25-765F9201A71A}"/>
    <hyperlink ref="B5" r:id="rId32" display="https://weather.gc.ca/city/pages/on-36_metric_e.html" xr:uid="{A65DB4A4-E716-4161-860F-4A5A18204AE6}"/>
    <hyperlink ref="B6" r:id="rId33" display="https://weather.gc.ca/city/pages/on-167_metric_e.html" xr:uid="{23F8DB67-F818-4872-B25C-5643D9634B29}"/>
    <hyperlink ref="B7" r:id="rId34" display="https://weather.gc.ca/city/pages/on-136_metric_e.html" xr:uid="{4699EF15-DDFF-472E-8C29-5432DFE5EEF6}"/>
    <hyperlink ref="B8" r:id="rId35" display="https://weather.gc.ca/city/pages/on-170_metric_e.html" xr:uid="{BE16B790-909A-492E-AADE-12CA384625F5}"/>
    <hyperlink ref="B9" r:id="rId36" display="https://weather.gc.ca/city/pages/on-173_metric_e.html" xr:uid="{34C93020-387E-4900-A33D-C6452136BD56}"/>
    <hyperlink ref="B10" r:id="rId37" display="https://weather.gc.ca/city/pages/on-12_metric_e.html" xr:uid="{A412CD1E-7A89-41D3-8EBF-AD767A337FBE}"/>
    <hyperlink ref="B11" r:id="rId38" display="https://weather.gc.ca/city/pages/on-159_metric_e.html" xr:uid="{CB15AB45-846D-4621-A727-338F8C976E95}"/>
    <hyperlink ref="B12" r:id="rId39" display="https://weather.gc.ca/city/pages/on-171_metric_e.html" xr:uid="{6608AFC0-DF4B-42B6-AC02-6E47C3F77AF0}"/>
    <hyperlink ref="B13" r:id="rId40" display="https://weather.gc.ca/city/pages/on-90_metric_e.html" xr:uid="{2CDBFD3F-8389-40F5-8014-16CCAF8F0808}"/>
    <hyperlink ref="B14" r:id="rId41" display="https://weather.gc.ca/city/pages/on-160_metric_e.html" xr:uid="{7D89902B-FDF0-45E3-A099-68D68B91BFE5}"/>
    <hyperlink ref="B15" r:id="rId42" display="https://weather.gc.ca/city/pages/on-37_metric_e.html" xr:uid="{3B3E5A51-F873-4B9C-9CAB-B2DAF1BA0150}"/>
    <hyperlink ref="B16" r:id="rId43" display="https://weather.gc.ca/city/pages/on-144_metric_e.html" xr:uid="{4F4B603B-0662-47FF-840B-7981600801BF}"/>
    <hyperlink ref="B17" r:id="rId44" display="https://weather.gc.ca/city/pages/on-38_metric_e.html" xr:uid="{69014EC9-ED77-4ED4-A3EC-D4E080AC0887}"/>
    <hyperlink ref="B18" r:id="rId45" display="https://weather.gc.ca/city/pages/on-39_metric_e.html" xr:uid="{E008DCFE-65EE-47D6-B868-13AAB83B8000}"/>
    <hyperlink ref="B19" r:id="rId46" display="https://weather.gc.ca/city/pages/on-40_metric_e.html" xr:uid="{8C6F16A3-8777-44B0-AE53-8105AE3D449F}"/>
    <hyperlink ref="B20" r:id="rId47" display="https://weather.gc.ca/city/pages/on-153_metric_e.html" xr:uid="{473540F1-A0EF-48BE-83A6-E5B9ACD44BD8}"/>
    <hyperlink ref="B21" r:id="rId48" display="https://weather.gc.ca/city/pages/on-70_metric_e.html" xr:uid="{EA3CA7E0-398A-4813-8980-69FFF9447AA4}"/>
    <hyperlink ref="B22" r:id="rId49" display="https://weather.gc.ca/city/pages/on-97_metric_e.html" xr:uid="{DF96AE2D-64B2-4686-8E19-165920B13A6B}"/>
    <hyperlink ref="B23" r:id="rId50" display="https://weather.gc.ca/city/pages/on-5_metric_e.html" xr:uid="{5FF4FCA9-049A-4C6A-9989-E1D8FC160305}"/>
    <hyperlink ref="B24" r:id="rId51" display="https://weather.gc.ca/city/pages/on-41_metric_e.html" xr:uid="{F32D84C1-F7D4-4C17-AB22-5DF166B90D7E}"/>
    <hyperlink ref="B25" r:id="rId52" display="https://weather.gc.ca/city/pages/on-42_metric_e.html" xr:uid="{E87B7E32-9104-4226-A0E2-628AFB2A2D68}"/>
    <hyperlink ref="B26" r:id="rId53" display="https://weather.gc.ca/city/pages/on-165_metric_e.html" xr:uid="{60D87DDF-1863-4C62-B91A-99BE79243E36}"/>
    <hyperlink ref="B27" r:id="rId54" display="https://weather.gc.ca/city/pages/on-68_metric_e.html" xr:uid="{0BA91773-6E79-4347-8A74-4D1632153A54}"/>
    <hyperlink ref="B28" r:id="rId55" display="https://weather.gc.ca/city/pages/on-77_metric_e.html" xr:uid="{19F3A284-AD19-43C5-949B-0867784F2847}"/>
    <hyperlink ref="B29" r:id="rId56" display="https://weather.gc.ca/city/pages/on-71_metric_e.html" xr:uid="{C25DD854-C4E7-488C-BFFF-E3407005D15A}"/>
    <hyperlink ref="B30" r:id="rId57" display="https://weather.gc.ca/city/pages/on-73_metric_e.html" xr:uid="{B87BA04F-F8F3-4EFA-B644-FC9D8391ABC9}"/>
    <hyperlink ref="C2" r:id="rId58" display="https://weather.gc.ca/city/pages/on-78_metric_e.html" xr:uid="{FF3954C9-4D37-47B7-B5CD-DDC18A8B0F9E}"/>
    <hyperlink ref="C3" r:id="rId59" display="https://weather.gc.ca/city/pages/on-88_metric_e.html" xr:uid="{2B9FFA3D-4EE3-4815-9F77-0E323C1C74BA}"/>
    <hyperlink ref="C4" r:id="rId60" display="https://weather.gc.ca/city/pages/on-156_metric_e.html" xr:uid="{D8F1C802-7624-47EA-BE2E-C4BEFAB0BFA2}"/>
    <hyperlink ref="C5" r:id="rId61" display="https://weather.gc.ca/city/pages/on-145_metric_e.html" xr:uid="{12E888E4-5832-49BE-8AC6-354B0514A764}"/>
    <hyperlink ref="C6" r:id="rId62" display="https://weather.gc.ca/city/pages/on-43_metric_e.html" xr:uid="{8BE8B1F0-63E0-4184-8B03-BD3FEACDA776}"/>
    <hyperlink ref="C7" r:id="rId63" display="https://weather.gc.ca/city/pages/on-142_metric_e.html" xr:uid="{35969FA4-8014-4699-A0B2-0713CBD4253E}"/>
    <hyperlink ref="C8" r:id="rId64" display="https://weather.gc.ca/city/pages/on-44_metric_e.html" xr:uid="{1500E9D9-BD61-407C-B945-1AE1CD0FA9D5}"/>
    <hyperlink ref="C9" r:id="rId65" display="https://weather.gc.ca/city/pages/on-168_metric_e.html" xr:uid="{6665366B-25C2-4A8D-B250-4C4CE69E06DF}"/>
    <hyperlink ref="C10" r:id="rId66" display="https://weather.gc.ca/city/pages/on-74_metric_e.html" xr:uid="{96E4D59E-26F7-4922-B9D7-95DD5EB2E1EA}"/>
    <hyperlink ref="C11" r:id="rId67" display="https://weather.gc.ca/city/pages/on-96_metric_e.html" xr:uid="{FE440A3B-0671-49A7-AA68-FEE93E51ABF9}"/>
    <hyperlink ref="C12" r:id="rId68" display="https://weather.gc.ca/city/pages/on-146_metric_e.html" xr:uid="{A33C79DF-D268-4997-9ACD-EC3D29A2B645}"/>
    <hyperlink ref="C13" r:id="rId69" display="https://weather.gc.ca/city/pages/on-28_metric_e.html" xr:uid="{4939BCCB-FD12-45F7-8CD5-0AF22D117718}"/>
    <hyperlink ref="C14" r:id="rId70" display="https://weather.gc.ca/city/pages/on-69_metric_e.html" xr:uid="{6B1488F8-1E3C-4C30-8173-B8CACD0A20E7}"/>
    <hyperlink ref="C15" r:id="rId71" display="https://weather.gc.ca/city/pages/on-76_metric_e.html" xr:uid="{5A55448A-5E5E-4243-A568-38C2C20BBC5D}"/>
    <hyperlink ref="C16" r:id="rId72" display="https://weather.gc.ca/city/pages/on-82_metric_e.html" xr:uid="{D1B2D433-4AEF-4617-B9AD-806AF71B0DE6}"/>
    <hyperlink ref="C17" r:id="rId73" display="https://weather.gc.ca/city/pages/on-45_metric_e.html" xr:uid="{FE01B489-5142-4819-B1E4-F0AF038D7643}"/>
    <hyperlink ref="C18" r:id="rId74" display="https://weather.gc.ca/city/pages/on-46_metric_e.html" xr:uid="{97A3724B-B925-48CC-8288-4081D9500802}"/>
    <hyperlink ref="C19" r:id="rId75" display="https://weather.gc.ca/city/pages/on-87_metric_e.html" xr:uid="{50690E6A-1275-45EE-908B-42A1DB30F2EE}"/>
    <hyperlink ref="C20" r:id="rId76" display="https://weather.gc.ca/city/pages/on-23_metric_e.html" xr:uid="{64C97628-A5E9-4B97-93B6-9FB7B3E5AD0E}"/>
    <hyperlink ref="C21" r:id="rId77" display="https://weather.gc.ca/city/pages/on-47_metric_e.html" xr:uid="{2704E4CF-652B-4A66-93E9-BC3408BFA1F1}"/>
    <hyperlink ref="C22" r:id="rId78" display="https://weather.gc.ca/city/pages/on-137_metric_e.html" xr:uid="{E0DDB890-A125-4DE1-9E76-80A3D277E54C}"/>
    <hyperlink ref="C23" r:id="rId79" display="https://weather.gc.ca/city/pages/on-108_metric_e.html" xr:uid="{0098B8D6-AEB7-466F-AAA3-A2829BF1C11F}"/>
    <hyperlink ref="C24" r:id="rId80" display="https://weather.gc.ca/city/pages/on-85_metric_e.html" xr:uid="{EF8B28E9-5D57-41F2-9FDB-5E91E38C8706}"/>
    <hyperlink ref="C25" r:id="rId81" display="https://weather.gc.ca/city/pages/on-169_metric_e.html" xr:uid="{3E0973B7-D157-40EF-9CEA-BA394F784396}"/>
    <hyperlink ref="C26" r:id="rId82" display="https://weather.gc.ca/city/pages/on-48_metric_e.html" xr:uid="{5DFE1A55-6F68-4AD5-8066-B466F269598D}"/>
    <hyperlink ref="C27" r:id="rId83" display="https://weather.gc.ca/city/pages/on-24_metric_e.html" xr:uid="{83393D83-8268-422A-AD5A-DC43FA4B947D}"/>
    <hyperlink ref="C28" r:id="rId84" display="https://weather.gc.ca/city/pages/on-163_metric_e.html" xr:uid="{5FF050C6-A782-440B-A344-98DEA8C1A702}"/>
    <hyperlink ref="C29" r:id="rId85" display="https://weather.gc.ca/city/pages/on-113_metric_e.html" xr:uid="{52814347-9F85-4D43-9564-866D825DC0A1}"/>
    <hyperlink ref="C30" r:id="rId86" display="https://weather.gc.ca/city/pages/on-92_metric_e.html" xr:uid="{DE26D953-66B7-45EB-8A53-062BAD8335BA}"/>
    <hyperlink ref="D2" r:id="rId87" display="https://weather.gc.ca/city/pages/on-89_metric_e.html" xr:uid="{98C64625-7EA5-4F86-AD49-756DE6DB021E}"/>
    <hyperlink ref="D3" r:id="rId88" display="https://weather.gc.ca/city/pages/on-93_metric_e.html" xr:uid="{6C1CA5AD-BC30-4A7E-A367-43EEC1DCA07D}"/>
    <hyperlink ref="D4" r:id="rId89" display="https://weather.gc.ca/city/pages/on-49_metric_e.html" xr:uid="{E085B389-64FA-4174-ACAB-A3242CA982C5}"/>
    <hyperlink ref="D5" r:id="rId90" display="https://weather.gc.ca/city/pages/on-25_metric_e.html" xr:uid="{1720A147-C687-46B4-AEC3-8E28CE0FE5A0}"/>
    <hyperlink ref="D6" r:id="rId91" display="https://weather.gc.ca/city/pages/on-125_metric_e.html" xr:uid="{37808BDA-26F7-46C7-92D2-B8642A563A35}"/>
    <hyperlink ref="D7" r:id="rId92" display="https://weather.gc.ca/city/pages/on-26_metric_e.html" xr:uid="{35C3F61E-99F8-40E0-855F-FBFE5BD6C8C0}"/>
    <hyperlink ref="D8" r:id="rId93" display="https://weather.gc.ca/city/pages/on-50_metric_e.html" xr:uid="{5A71AC26-F8AF-4463-BA80-78A72658EEC0}"/>
    <hyperlink ref="D9" r:id="rId94" display="https://weather.gc.ca/city/pages/on-139_metric_e.html" xr:uid="{253F7291-3EE3-4722-ABB9-6001FBE988DB}"/>
    <hyperlink ref="D10" r:id="rId95" display="https://weather.gc.ca/city/pages/on-51_metric_e.html" xr:uid="{A38351B0-6902-4636-A321-9F05F6103BA9}"/>
    <hyperlink ref="D11" r:id="rId96" display="https://weather.gc.ca/city/pages/on-79_metric_e.html" xr:uid="{9FF03D4D-6383-4CAF-946A-B4366FCA405B}"/>
    <hyperlink ref="D12" r:id="rId97" display="https://weather.gc.ca/city/pages/on-101_metric_e.html" xr:uid="{B9D1B542-BE14-42CC-8747-AC899523F45A}"/>
    <hyperlink ref="D13" r:id="rId98" display="https://weather.gc.ca/city/pages/on-140_metric_e.html" xr:uid="{E265D3EB-5E08-4D29-AA6B-15618BBE8580}"/>
    <hyperlink ref="D14" r:id="rId99" display="https://weather.gc.ca/city/pages/on-13_metric_e.html" xr:uid="{4ABD91D7-F4F1-4E06-B3BD-A88708A37D79}"/>
    <hyperlink ref="D15" r:id="rId100" display="https://weather.gc.ca/city/pages/on-117_metric_e.html" xr:uid="{7BBE3887-5FEC-429A-B9A9-D10AD48123F9}"/>
    <hyperlink ref="D16" r:id="rId101" display="https://weather.gc.ca/city/pages/on-118_metric_e.html" xr:uid="{EED0E033-1209-48A9-B0D3-B10010D43ED7}"/>
    <hyperlink ref="D17" r:id="rId102" display="https://weather.gc.ca/city/pages/on-52_metric_e.html" xr:uid="{DBCAAA69-B9FA-469F-90FC-D6DDE3032385}"/>
    <hyperlink ref="D18" r:id="rId103" display="https://weather.gc.ca/city/pages/on-7_metric_e.html" xr:uid="{7DE2F481-F67F-44AB-9197-A7CA100CABD7}"/>
    <hyperlink ref="D19" r:id="rId104" display="https://weather.gc.ca/city/pages/on-53_metric_e.html" xr:uid="{59D6AE5E-094C-4E7D-82F4-121FE97185FE}"/>
    <hyperlink ref="D20" r:id="rId105" display="https://weather.gc.ca/city/pages/on-103_metric_e.html" xr:uid="{328490F0-E9B9-48AB-B4D8-41708B5C0BF1}"/>
    <hyperlink ref="D21" r:id="rId106" display="https://weather.gc.ca/city/pages/on-99_metric_e.html" xr:uid="{3D8A836E-8351-40A1-999B-69EA4F58CF90}"/>
    <hyperlink ref="D22" r:id="rId107" display="https://weather.gc.ca/city/pages/on-131_metric_e.html" xr:uid="{2AD92718-EF55-4FBA-8F95-C071387CBA0C}"/>
    <hyperlink ref="D23" r:id="rId108" display="https://weather.gc.ca/city/pages/on-112_metric_e.html" xr:uid="{E0C09DAE-2E7E-4324-87D7-B950BED3C5EC}"/>
    <hyperlink ref="D24" r:id="rId109" display="https://weather.gc.ca/city/pages/on-121_metric_e.html" xr:uid="{96788E0A-808C-44E3-BF9A-33A8D22B76FB}"/>
    <hyperlink ref="D25" r:id="rId110" display="https://weather.gc.ca/city/pages/on-54_metric_e.html" xr:uid="{9F92E4C3-0A15-4CBD-BB85-2CAFDA8BB113}"/>
    <hyperlink ref="D26" r:id="rId111" display="https://weather.gc.ca/city/pages/on-120_metric_e.html" xr:uid="{C71334FB-5BC3-43A1-A031-F58086948F64}"/>
    <hyperlink ref="D27" r:id="rId112" display="https://weather.gc.ca/city/pages/on-55_metric_e.html" xr:uid="{77CD7F5F-6FA1-47B0-8FFD-23B5156D4CEB}"/>
    <hyperlink ref="D28" r:id="rId113" display="https://weather.gc.ca/city/pages/on-56_metric_e.html" xr:uid="{01911F03-528C-418F-9A01-22B87935C64F}"/>
    <hyperlink ref="D29" r:id="rId114" display="https://weather.gc.ca/city/pages/on-80_metric_e.html" xr:uid="{356CDC8D-64C6-4182-849E-A78E79FAF6B5}"/>
    <hyperlink ref="D30" r:id="rId115" display="https://weather.gc.ca/city/pages/on-19_metric_e.html" xr:uid="{6D0690E5-1354-40A2-8B96-72472D607F1A}"/>
    <hyperlink ref="E2" r:id="rId116" display="https://weather.gc.ca/city/pages/on-149_metric_e.html" xr:uid="{C8CF80A9-7ACF-416D-9AFA-53C5A92329DC}"/>
    <hyperlink ref="E3" r:id="rId117" display="https://weather.gc.ca/city/pages/on-27_metric_e.html" xr:uid="{28ACD9FA-E86D-4EFC-ADEA-16F895E2E21A}"/>
    <hyperlink ref="E4" r:id="rId118" display="https://weather.gc.ca/city/pages/on-57_metric_e.html" xr:uid="{7BFEC846-3827-49DE-8785-4F978F6AD46E}"/>
    <hyperlink ref="E5" r:id="rId119" display="https://weather.gc.ca/city/pages/on-104_metric_e.html" xr:uid="{96CE22FA-333E-4B64-BA2F-9AABAE843D78}"/>
    <hyperlink ref="E6" r:id="rId120" display="https://weather.gc.ca/city/pages/on-58_metric_e.html" xr:uid="{B134DB91-356C-4660-AD80-D7A3B486EAFB}"/>
    <hyperlink ref="E7" r:id="rId121" display="https://weather.gc.ca/city/pages/on-59_metric_e.html" xr:uid="{2BD637B3-E24B-4A02-B66C-B2F2D44F5F85}"/>
    <hyperlink ref="E8" r:id="rId122" display="https://weather.gc.ca/city/pages/on-172_metric_e.html" xr:uid="{FBC9A50E-C303-4A92-92C4-051739D1630F}"/>
    <hyperlink ref="E9" r:id="rId123" display="https://weather.gc.ca/city/pages/on-141_metric_e.html" xr:uid="{E5175EE0-0332-4AE5-8BEF-F8796CFB2516}"/>
    <hyperlink ref="E10" r:id="rId124" display="https://weather.gc.ca/city/pages/on-105_metric_e.html" xr:uid="{E9F3966A-5F99-41DB-9C0C-E17B94C08B2E}"/>
    <hyperlink ref="E11" r:id="rId125" display="https://weather.gc.ca/city/pages/on-129_metric_e.html" xr:uid="{A026B346-540D-4B8E-ABD1-96E3D527E762}"/>
    <hyperlink ref="E12" r:id="rId126" display="https://weather.gc.ca/city/pages/on-147_metric_e.html" xr:uid="{0B74DDDC-3699-42B8-8A92-ABE51C638711}"/>
    <hyperlink ref="E13" r:id="rId127" display="https://weather.gc.ca/city/pages/on-60_metric_e.html" xr:uid="{A52DA0C6-8241-4FEB-AF10-A7634E1F0D56}"/>
    <hyperlink ref="E14" r:id="rId128" display="https://weather.gc.ca/city/pages/on-162_metric_e.html" xr:uid="{E6EF6639-824E-45EF-9BB6-363F25284062}"/>
    <hyperlink ref="E15" r:id="rId129" display="https://weather.gc.ca/city/pages/on-134_metric_e.html" xr:uid="{C74DBC6C-6B91-48DC-A1A4-8620D05D594C}"/>
    <hyperlink ref="E16" r:id="rId130" display="https://weather.gc.ca/city/pages/on-61_metric_e.html" xr:uid="{754B3EE3-72D6-4C6D-A74D-61363E561AB9}"/>
    <hyperlink ref="E17" r:id="rId131" display="https://weather.gc.ca/city/pages/on-84_metric_e.html" xr:uid="{EF344838-6522-402D-B671-1321355C2262}"/>
    <hyperlink ref="E18" r:id="rId132" display="https://weather.gc.ca/city/pages/on-161_metric_e.html" xr:uid="{1FF39417-863C-4DF0-8A5B-EA6F9B493EA6}"/>
    <hyperlink ref="E19" r:id="rId133" display="https://weather.gc.ca/city/pages/on-135_metric_e.html" xr:uid="{36923C20-5A28-4517-B773-D7637675AD1B}"/>
    <hyperlink ref="E20" r:id="rId134" display="https://weather.gc.ca/city/pages/on-166_metric_e.html" xr:uid="{64C48EE9-44AB-4E66-956C-6650882FE6D9}"/>
    <hyperlink ref="E21" r:id="rId135" display="https://weather.gc.ca/city/pages/on-106_metric_e.html" xr:uid="{0EA50051-9EF0-4F39-B191-4E73587FB740}"/>
    <hyperlink ref="E22" r:id="rId136" display="https://weather.gc.ca/city/pages/on-62_metric_e.html" xr:uid="{7C9008E0-5529-4F34-B9C0-56D08F084A7E}"/>
    <hyperlink ref="E23" r:id="rId137" display="https://weather.gc.ca/city/pages/on-107_metric_e.html" xr:uid="{FE6FCE8B-8A23-4202-A386-622C68915ABE}"/>
    <hyperlink ref="E24" r:id="rId138" display="https://weather.gc.ca/city/pages/on-98_metric_e.html" xr:uid="{E911B09D-AE2E-4627-A7AF-8C3FF04DA602}"/>
    <hyperlink ref="E25" r:id="rId139" display="https://weather.gc.ca/city/pages/on-115_metric_e.html" xr:uid="{010A9A37-AAEC-4E15-9CB0-119ACA68ECC8}"/>
    <hyperlink ref="E26" r:id="rId140" display="https://weather.gc.ca/city/pages/on-116_metric_e.html" xr:uid="{385AFFA7-382B-4D06-BEF8-7F0DBF57A8A3}"/>
    <hyperlink ref="E27" r:id="rId141" display="https://weather.gc.ca/city/pages/on-18_metric_e.html" xr:uid="{9F81C84F-C48C-435B-8663-173CBCD0DC9C}"/>
    <hyperlink ref="E28" r:id="rId142" display="https://weather.gc.ca/city/pages/on-174_metric_e.html" xr:uid="{EF2DD73A-7CCC-46E5-9A00-92B03F490A1C}"/>
    <hyperlink ref="E29" r:id="rId143" display="https://weather.gc.ca/city/pages/on-63_metric_e.html" xr:uid="{C0CF2001-86D9-4879-8AF8-1BBE5C4F3AF0}"/>
    <hyperlink ref="E30" r:id="rId144" display="https://weather.gc.ca/city/pages/on-22_metric_e.html" xr:uid="{8BBFF0A7-CF6A-4421-BA04-94107AE9E752}"/>
    <hyperlink ref="F2" r:id="rId145" display="https://weather.gc.ca/city/pages/on-123_metric_e.html" xr:uid="{162C7253-4B6A-4AF8-91A3-E0266205DF72}"/>
    <hyperlink ref="F3" r:id="rId146" display="https://weather.gc.ca/city/pages/on-100_metric_e.html" xr:uid="{F67B1AD3-F22D-4711-B85D-BBD02BD3D984}"/>
    <hyperlink ref="F4" r:id="rId147" display="https://weather.gc.ca/city/pages/on-17_metric_e.html" xr:uid="{90A3A800-63DE-4726-BD91-B01358418556}"/>
    <hyperlink ref="F5" r:id="rId148" display="https://weather.gc.ca/city/pages/on-127_metric_e.html" xr:uid="{7544A53A-ADAD-401E-BE86-D9E787C3F058}"/>
    <hyperlink ref="F6" r:id="rId149" display="https://weather.gc.ca/city/pages/on-157_metric_e.html" xr:uid="{6B6312F6-6D46-4BEC-B2B1-D6FA85634CB8}"/>
    <hyperlink ref="F7" r:id="rId150" display="https://weather.gc.ca/city/pages/on-143_metric_e.html" xr:uid="{611D1919-17AF-4A43-9302-F3400423B5FE}"/>
    <hyperlink ref="F8" r:id="rId151" display="https://weather.gc.ca/city/pages/on-128_metric_e.html" xr:uid="{93E0FF8D-BD14-4E2C-8C01-72231AB39CBC}"/>
    <hyperlink ref="F9" r:id="rId152" display="https://weather.gc.ca/city/pages/on-126_metric_e.html" xr:uid="{7D0F6F63-553D-4836-BE73-FD349D6184B4}"/>
    <hyperlink ref="F10" r:id="rId153" display="https://weather.gc.ca/city/pages/on-154_metric_e.html" xr:uid="{689BA748-C952-4C0C-9CF5-66D2CD61768F}"/>
    <hyperlink ref="F11" r:id="rId154" display="https://weather.gc.ca/city/pages/on-64_metric_e.html" xr:uid="{DD11CFC9-2FB8-4C22-A0FB-86271C3C2364}"/>
    <hyperlink ref="F12" r:id="rId155" display="https://weather.gc.ca/city/pages/on-109_metric_e.html" xr:uid="{ED87D41F-2002-4EE6-B0C6-ACB42DC4E64C}"/>
    <hyperlink ref="F13" r:id="rId156" display="https://weather.gc.ca/city/pages/on-16_metric_e.html" xr:uid="{7053A664-4684-4B97-A08D-FEE04DDA1255}"/>
    <hyperlink ref="F14" r:id="rId157" display="https://weather.gc.ca/city/pages/on-138_metric_e.html" xr:uid="{77EA1C7A-0C43-427B-BCC6-4C139C7A9FC9}"/>
    <hyperlink ref="F15" r:id="rId158" display="https://weather.gc.ca/city/pages/on-132_metric_e.html" xr:uid="{2E9057E0-CABF-4ED3-9189-73828123C820}"/>
    <hyperlink ref="F16" r:id="rId159" display="https://weather.gc.ca/city/pages/on-14_metric_e.html" xr:uid="{91746D41-B282-4531-A98D-0E9FFC1649C4}"/>
    <hyperlink ref="F17" r:id="rId160" display="https://weather.gc.ca/city/pages/on-65_metric_e.html" xr:uid="{D7710BF6-6CD8-499F-B7D1-3A9DD8AB2399}"/>
    <hyperlink ref="F18" r:id="rId161" display="https://weather.gc.ca/city/pages/on-66_metric_e.html" xr:uid="{40C7B4DE-674C-40B8-A6EA-2FF90AA57B18}"/>
    <hyperlink ref="F19" r:id="rId162" display="https://weather.gc.ca/city/pages/on-119_metric_e.html" xr:uid="{ADAF6ADF-E270-4D0C-B620-1860860F94F1}"/>
    <hyperlink ref="F20" r:id="rId163" display="https://weather.gc.ca/city/pages/on-67_metric_e.html" xr:uid="{E2AE8505-A82C-4EA3-BC88-08E966F1CC61}"/>
    <hyperlink ref="F21" r:id="rId164" display="https://weather.gc.ca/city/pages/on-130_metric_e.html" xr:uid="{44390969-29F4-42ED-8037-1C4F5FDC97DF}"/>
    <hyperlink ref="F22" r:id="rId165" display="https://weather.gc.ca/city/pages/on-155_metric_e.html" xr:uid="{D61089C4-50A0-48F3-877A-201C0C5AFC2C}"/>
    <hyperlink ref="F23" r:id="rId166" display="https://weather.gc.ca/city/pages/on-94_metric_e.html" xr:uid="{0A8D3AC5-97DD-4502-8089-DA73AE83A762}"/>
    <hyperlink ref="F24" r:id="rId167" display="https://weather.gc.ca/city/pages/on-110_metric_e.html" xr:uid="{8DEACC1B-57B3-4A9A-9B21-B75BCBC9654C}"/>
    <hyperlink ref="F25" r:id="rId168" display="https://weather.gc.ca/city/pages/on-15_metric_e.html" xr:uid="{798631A6-8C31-461F-ACB5-6E38E8618661}"/>
    <hyperlink ref="F26" r:id="rId169" display="https://weather.gc.ca/city/pages/on-158_metric_e.html" xr:uid="{9589F865-E629-4A85-BA13-9870E048F710}"/>
    <hyperlink ref="A2" r:id="rId170" display="https://weather.gc.ca/city/pages/on-122_metric_e.html" xr:uid="{B7B1F78B-48DD-43C9-B80D-613AA63C68FF}"/>
  </hyperlinks>
  <pageMargins left="0.7" right="0.7" top="0.75" bottom="0.75" header="0.3" footer="0.3"/>
  <pageSetup orientation="portrait" r:id="rId17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0335D0-EA88-4B9E-B9E6-2EFD8BE03A60}">
  <sheetPr>
    <tabColor theme="5" tint="0.79998168889431442"/>
  </sheetPr>
  <dimension ref="A1:O46"/>
  <sheetViews>
    <sheetView view="pageBreakPreview" zoomScale="90" zoomScaleNormal="100" zoomScaleSheetLayoutView="90" workbookViewId="0">
      <selection activeCell="D11" sqref="D11"/>
    </sheetView>
  </sheetViews>
  <sheetFormatPr defaultColWidth="8.85546875" defaultRowHeight="15" x14ac:dyDescent="0.25"/>
  <cols>
    <col min="1" max="1" width="25.42578125" customWidth="1"/>
    <col min="2" max="2" width="21.42578125" customWidth="1"/>
    <col min="3" max="3" width="126" customWidth="1"/>
  </cols>
  <sheetData>
    <row r="1" spans="1:15" x14ac:dyDescent="0.25">
      <c r="A1" s="26"/>
      <c r="B1" s="29" t="s">
        <v>120</v>
      </c>
      <c r="C1" s="30">
        <f>'Work Order'!M4</f>
        <v>0</v>
      </c>
      <c r="D1" s="28"/>
    </row>
    <row r="2" spans="1:15" ht="18.75" x14ac:dyDescent="0.3">
      <c r="A2" s="47" t="s">
        <v>121</v>
      </c>
      <c r="B2" s="29" t="s">
        <v>122</v>
      </c>
      <c r="C2" s="37">
        <f>'Work Order'!M6</f>
        <v>0</v>
      </c>
      <c r="D2" s="28"/>
    </row>
    <row r="3" spans="1:15" x14ac:dyDescent="0.25">
      <c r="A3" s="26"/>
      <c r="B3" s="29" t="s">
        <v>123</v>
      </c>
      <c r="C3" s="30">
        <f>'Work Order'!R4</f>
        <v>0</v>
      </c>
      <c r="D3" s="5"/>
      <c r="E3" s="5"/>
      <c r="F3" s="5"/>
      <c r="G3" s="5"/>
    </row>
    <row r="4" spans="1:15" x14ac:dyDescent="0.25">
      <c r="A4" s="26"/>
      <c r="B4" s="29" t="s">
        <v>124</v>
      </c>
      <c r="C4" s="30">
        <f>'Work Order'!C4</f>
        <v>0</v>
      </c>
      <c r="D4" s="5"/>
      <c r="E4" s="5"/>
      <c r="F4" s="5"/>
      <c r="G4" s="5"/>
    </row>
    <row r="5" spans="1:15" x14ac:dyDescent="0.25">
      <c r="A5" s="26" t="s">
        <v>125</v>
      </c>
      <c r="B5" s="26" t="s">
        <v>33</v>
      </c>
      <c r="C5" s="26" t="s">
        <v>126</v>
      </c>
      <c r="D5" s="27" t="s">
        <v>127</v>
      </c>
      <c r="M5" s="5"/>
      <c r="N5" s="5"/>
      <c r="O5" s="5"/>
    </row>
    <row r="6" spans="1:15" x14ac:dyDescent="0.25">
      <c r="A6" s="26"/>
      <c r="B6" s="48"/>
      <c r="C6" s="26"/>
      <c r="D6" t="s">
        <v>128</v>
      </c>
      <c r="M6" s="5"/>
      <c r="N6" s="5"/>
      <c r="O6" s="5"/>
    </row>
    <row r="7" spans="1:15" x14ac:dyDescent="0.25">
      <c r="A7" s="26"/>
      <c r="B7" s="58"/>
      <c r="C7" s="26"/>
      <c r="D7" t="s">
        <v>129</v>
      </c>
    </row>
    <row r="8" spans="1:15" x14ac:dyDescent="0.25">
      <c r="A8" s="26"/>
      <c r="B8" s="58"/>
      <c r="C8" s="26"/>
      <c r="D8" t="s">
        <v>130</v>
      </c>
    </row>
    <row r="9" spans="1:15" x14ac:dyDescent="0.25">
      <c r="A9" s="26"/>
      <c r="B9" s="58"/>
      <c r="C9" s="60"/>
      <c r="D9" t="s">
        <v>131</v>
      </c>
    </row>
    <row r="10" spans="1:15" x14ac:dyDescent="0.25">
      <c r="A10" s="26"/>
      <c r="B10" s="26"/>
      <c r="C10" s="26"/>
      <c r="D10" t="s">
        <v>132</v>
      </c>
    </row>
    <row r="11" spans="1:15" x14ac:dyDescent="0.25">
      <c r="A11" s="26"/>
      <c r="B11" s="26"/>
      <c r="C11" s="26"/>
      <c r="D11" t="s">
        <v>133</v>
      </c>
    </row>
    <row r="12" spans="1:15" x14ac:dyDescent="0.25">
      <c r="A12" s="26"/>
      <c r="B12" s="26"/>
      <c r="C12" s="26"/>
    </row>
    <row r="13" spans="1:15" x14ac:dyDescent="0.25">
      <c r="A13" s="26"/>
      <c r="B13" s="26"/>
      <c r="C13" s="26"/>
    </row>
    <row r="14" spans="1:15" x14ac:dyDescent="0.25">
      <c r="A14" s="26"/>
      <c r="B14" s="26"/>
      <c r="C14" s="26"/>
    </row>
    <row r="15" spans="1:15" x14ac:dyDescent="0.25">
      <c r="A15" s="26"/>
      <c r="B15" s="26"/>
      <c r="C15" s="26"/>
    </row>
    <row r="16" spans="1:15" x14ac:dyDescent="0.25">
      <c r="A16" s="26"/>
      <c r="B16" s="26"/>
      <c r="C16" s="26"/>
    </row>
    <row r="17" spans="1:3" x14ac:dyDescent="0.25">
      <c r="A17" s="26"/>
      <c r="B17" s="26"/>
      <c r="C17" s="26"/>
    </row>
    <row r="18" spans="1:3" x14ac:dyDescent="0.25">
      <c r="A18" s="26"/>
      <c r="B18" s="26"/>
      <c r="C18" s="26"/>
    </row>
    <row r="19" spans="1:3" x14ac:dyDescent="0.25">
      <c r="A19" s="26"/>
      <c r="B19" s="26"/>
      <c r="C19" s="26"/>
    </row>
    <row r="20" spans="1:3" x14ac:dyDescent="0.25">
      <c r="A20" s="26"/>
      <c r="B20" s="26"/>
      <c r="C20" s="26"/>
    </row>
    <row r="21" spans="1:3" x14ac:dyDescent="0.25">
      <c r="A21" s="26"/>
      <c r="B21" s="26"/>
      <c r="C21" s="26"/>
    </row>
    <row r="22" spans="1:3" x14ac:dyDescent="0.25">
      <c r="A22" s="26"/>
      <c r="B22" s="26"/>
      <c r="C22" s="26"/>
    </row>
    <row r="23" spans="1:3" x14ac:dyDescent="0.25">
      <c r="A23" s="26"/>
      <c r="B23" s="26"/>
      <c r="C23" s="26"/>
    </row>
    <row r="24" spans="1:3" x14ac:dyDescent="0.25">
      <c r="A24" s="26"/>
      <c r="B24" s="26"/>
      <c r="C24" s="26"/>
    </row>
    <row r="25" spans="1:3" x14ac:dyDescent="0.25">
      <c r="A25" s="26"/>
      <c r="B25" s="26"/>
      <c r="C25" s="26"/>
    </row>
    <row r="26" spans="1:3" x14ac:dyDescent="0.25">
      <c r="A26" s="26"/>
      <c r="B26" s="26"/>
      <c r="C26" s="26"/>
    </row>
    <row r="27" spans="1:3" x14ac:dyDescent="0.25">
      <c r="A27" s="26"/>
      <c r="B27" s="26"/>
      <c r="C27" s="26"/>
    </row>
    <row r="28" spans="1:3" x14ac:dyDescent="0.25">
      <c r="A28" s="26"/>
      <c r="B28" s="26"/>
      <c r="C28" s="26"/>
    </row>
    <row r="29" spans="1:3" x14ac:dyDescent="0.25">
      <c r="A29" s="26"/>
      <c r="B29" s="26"/>
      <c r="C29" s="26"/>
    </row>
    <row r="30" spans="1:3" x14ac:dyDescent="0.25">
      <c r="A30" s="26"/>
      <c r="B30" s="26"/>
      <c r="C30" s="26"/>
    </row>
    <row r="31" spans="1:3" x14ac:dyDescent="0.25">
      <c r="A31" s="26"/>
      <c r="B31" s="26"/>
      <c r="C31" s="26"/>
    </row>
    <row r="32" spans="1:3" x14ac:dyDescent="0.25">
      <c r="A32" s="26"/>
      <c r="B32" s="26"/>
      <c r="C32" s="26"/>
    </row>
    <row r="33" spans="1:3" x14ac:dyDescent="0.25">
      <c r="A33" s="26"/>
      <c r="B33" s="26"/>
      <c r="C33" s="26"/>
    </row>
    <row r="34" spans="1:3" x14ac:dyDescent="0.25">
      <c r="A34" s="26"/>
      <c r="B34" s="26"/>
      <c r="C34" s="26"/>
    </row>
    <row r="35" spans="1:3" x14ac:dyDescent="0.25">
      <c r="A35" s="26"/>
      <c r="B35" s="26"/>
      <c r="C35" s="26"/>
    </row>
    <row r="36" spans="1:3" x14ac:dyDescent="0.25">
      <c r="A36" s="26"/>
      <c r="B36" s="26"/>
      <c r="C36" s="26"/>
    </row>
    <row r="37" spans="1:3" x14ac:dyDescent="0.25">
      <c r="A37" s="26"/>
      <c r="B37" s="26"/>
      <c r="C37" s="26"/>
    </row>
    <row r="38" spans="1:3" x14ac:dyDescent="0.25">
      <c r="A38" s="26"/>
      <c r="B38" s="26"/>
      <c r="C38" s="26"/>
    </row>
    <row r="39" spans="1:3" x14ac:dyDescent="0.25">
      <c r="A39" s="26"/>
      <c r="B39" s="26"/>
      <c r="C39" s="26"/>
    </row>
    <row r="40" spans="1:3" x14ac:dyDescent="0.25">
      <c r="A40" s="26"/>
      <c r="B40" s="26"/>
      <c r="C40" s="26"/>
    </row>
    <row r="41" spans="1:3" x14ac:dyDescent="0.25">
      <c r="A41" s="26"/>
      <c r="B41" s="26"/>
      <c r="C41" s="26"/>
    </row>
    <row r="42" spans="1:3" x14ac:dyDescent="0.25">
      <c r="A42" s="26"/>
      <c r="B42" s="26"/>
      <c r="C42" s="26"/>
    </row>
    <row r="43" spans="1:3" x14ac:dyDescent="0.25">
      <c r="A43" s="26"/>
      <c r="B43" s="26"/>
      <c r="C43" s="26"/>
    </row>
    <row r="44" spans="1:3" x14ac:dyDescent="0.25">
      <c r="A44" s="26"/>
      <c r="B44" s="26"/>
      <c r="C44" s="26"/>
    </row>
    <row r="45" spans="1:3" x14ac:dyDescent="0.25">
      <c r="A45" s="26"/>
      <c r="B45" s="26"/>
      <c r="C45" s="26"/>
    </row>
    <row r="46" spans="1:3" x14ac:dyDescent="0.25">
      <c r="A46" s="26"/>
      <c r="B46" s="26"/>
      <c r="C46" s="26"/>
    </row>
  </sheetData>
  <dataValidations count="1">
    <dataValidation type="list" allowBlank="1" showInputMessage="1" showErrorMessage="1" sqref="A6:A46" xr:uid="{CF522ACE-5D66-4336-9C7B-2541BD8A7C51}">
      <formula1>$D$6:$D$11</formula1>
    </dataValidation>
  </dataValidations>
  <pageMargins left="0.7" right="0.7" top="0.75" bottom="0.75" header="0.3" footer="0.3"/>
  <pageSetup scale="52" orientation="portrait" r:id="rId1"/>
  <headerFooter>
    <oddHeader xml:space="preserve">&amp;L&amp;8&amp;F
&amp;A
&amp;Z&amp;F&amp;R&amp;G
</oddHeader>
  </headerFooter>
  <legacyDrawingHF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65CF13440007E4DB322A298ED4606FE" ma:contentTypeVersion="8" ma:contentTypeDescription="Create a new document." ma:contentTypeScope="" ma:versionID="6142bec8ca00d2287c4e9bc659222ade">
  <xsd:schema xmlns:xsd="http://www.w3.org/2001/XMLSchema" xmlns:xs="http://www.w3.org/2001/XMLSchema" xmlns:p="http://schemas.microsoft.com/office/2006/metadata/properties" xmlns:ns2="3619fc1b-d52e-4aa4-9825-493b7395e5c0" targetNamespace="http://schemas.microsoft.com/office/2006/metadata/properties" ma:root="true" ma:fieldsID="d15d7ae9b3814289731a3125a7fe582d" ns2:_="">
    <xsd:import namespace="3619fc1b-d52e-4aa4-9825-493b7395e5c0"/>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2:MediaServiceOCR"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619fc1b-d52e-4aa4-9825-493b7395e5c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LengthInSeconds" ma:index="15" nillable="true" ma:displayName="Length (seconds)"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5E511F65-84EC-4CA6-8BE1-23FECEA99A6F}">
  <ds:schemaRefs>
    <ds:schemaRef ds:uri="http://schemas.microsoft.com/sharepoint/v3/contenttype/forms"/>
  </ds:schemaRefs>
</ds:datastoreItem>
</file>

<file path=customXml/itemProps2.xml><?xml version="1.0" encoding="utf-8"?>
<ds:datastoreItem xmlns:ds="http://schemas.openxmlformats.org/officeDocument/2006/customXml" ds:itemID="{188122B9-20B5-4221-8C75-B04C4FFF07A6}">
  <ds:schemaRefs>
    <ds:schemaRef ds:uri="http://schemas.microsoft.com/office/2006/metadata/properties"/>
    <ds:schemaRef ds:uri="http://www.w3.org/2000/xmlns/"/>
    <ds:schemaRef ds:uri="http://schemas.microsoft.com/office/infopath/2007/PartnerControls"/>
  </ds:schemaRefs>
</ds:datastoreItem>
</file>

<file path=customXml/itemProps3.xml><?xml version="1.0" encoding="utf-8"?>
<ds:datastoreItem xmlns:ds="http://schemas.openxmlformats.org/officeDocument/2006/customXml" ds:itemID="{F8260105-8B07-4F67-BB47-F3C81A7CB7EB}">
  <ds:schemaRefs>
    <ds:schemaRef ds:uri="http://schemas.microsoft.com/office/2006/metadata/contentType"/>
    <ds:schemaRef ds:uri="http://schemas.microsoft.com/office/2006/metadata/properties/metaAttributes"/>
    <ds:schemaRef ds:uri="http://www.w3.org/2000/xmlns/"/>
    <ds:schemaRef ds:uri="http://www.w3.org/2001/XMLSchema"/>
    <ds:schemaRef ds:uri="3619fc1b-d52e-4aa4-9825-493b7395e5c0"/>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34B1F38-C490-4A99-A8E6-103A37A47B3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vt:i4>
      </vt:variant>
    </vt:vector>
  </HeadingPairs>
  <TitlesOfParts>
    <vt:vector size="12" baseType="lpstr">
      <vt:lpstr>Work Order</vt:lpstr>
      <vt:lpstr>Product Summary</vt:lpstr>
      <vt:lpstr>Liquid</vt:lpstr>
      <vt:lpstr>Aggregates</vt:lpstr>
      <vt:lpstr>Samples</vt:lpstr>
      <vt:lpstr>Daily Report 5-25</vt:lpstr>
      <vt:lpstr>WeatherCheck</vt:lpstr>
      <vt:lpstr>LessonLearned</vt:lpstr>
      <vt:lpstr>Aggregates!Print_Area</vt:lpstr>
      <vt:lpstr>'Daily Report 5-25'!Print_Area</vt:lpstr>
      <vt:lpstr>LessonLearned!Print_Area</vt:lpstr>
      <vt:lpstr>Liquid!Print_Area</vt:lpstr>
    </vt:vector>
  </TitlesOfParts>
  <Manager/>
  <Company>The Miller Group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Reg Parsons</dc:creator>
  <cp:keywords/>
  <dc:description/>
  <cp:lastModifiedBy>Robbie MacMaster</cp:lastModifiedBy>
  <cp:revision/>
  <cp:lastPrinted>2022-05-20T17:07:42Z</cp:lastPrinted>
  <dcterms:created xsi:type="dcterms:W3CDTF">2016-07-22T21:22:35Z</dcterms:created>
  <dcterms:modified xsi:type="dcterms:W3CDTF">2022-05-25T16:32:36Z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06b95ba9-d50e-4074-b623-0a9711dc916f_Enabled">
    <vt:lpwstr>true</vt:lpwstr>
  </property>
  <property fmtid="{D5CDD505-2E9C-101B-9397-08002B2CF9AE}" pid="3" name="MSIP_Label_06b95ba9-d50e-4074-b623-0a9711dc916f_SetDate">
    <vt:lpwstr>2020-11-19T21:45:44Z</vt:lpwstr>
  </property>
  <property fmtid="{D5CDD505-2E9C-101B-9397-08002B2CF9AE}" pid="4" name="MSIP_Label_06b95ba9-d50e-4074-b623-0a9711dc916f_Method">
    <vt:lpwstr>Standard</vt:lpwstr>
  </property>
  <property fmtid="{D5CDD505-2E9C-101B-9397-08002B2CF9AE}" pid="5" name="MSIP_Label_06b95ba9-d50e-4074-b623-0a9711dc916f_Name">
    <vt:lpwstr>[Public]</vt:lpwstr>
  </property>
  <property fmtid="{D5CDD505-2E9C-101B-9397-08002B2CF9AE}" pid="6" name="MSIP_Label_06b95ba9-d50e-4074-b623-0a9711dc916f_SiteId">
    <vt:lpwstr>be0be093-a2ad-444c-93d9-5626e83beefc</vt:lpwstr>
  </property>
  <property fmtid="{D5CDD505-2E9C-101B-9397-08002B2CF9AE}" pid="7" name="MSIP_Label_06b95ba9-d50e-4074-b623-0a9711dc916f_ActionId">
    <vt:lpwstr>a7bde5de-d9d2-4d69-ba55-9aab3a368d87</vt:lpwstr>
  </property>
  <property fmtid="{D5CDD505-2E9C-101B-9397-08002B2CF9AE}" pid="8" name="MSIP_Label_06b95ba9-d50e-4074-b623-0a9711dc916f_ContentBits">
    <vt:lpwstr>0</vt:lpwstr>
  </property>
  <property fmtid="{D5CDD505-2E9C-101B-9397-08002B2CF9AE}" pid="9" name="ContentTypeId">
    <vt:lpwstr>0x010100565CF13440007E4DB322A298ED4606FE</vt:lpwstr>
  </property>
</Properties>
</file>