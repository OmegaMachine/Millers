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bi\OneDrive\Desktop\AHK\Projects\Millers\Conversions\DailyLogs\"/>
    </mc:Choice>
  </mc:AlternateContent>
  <xr:revisionPtr revIDLastSave="0" documentId="13_ncr:1_{C9032A0F-A7D2-4C8B-9689-EFD09B41025D}" xr6:coauthVersionLast="47" xr6:coauthVersionMax="47" xr10:uidLastSave="{00000000-0000-0000-0000-000000000000}"/>
  <bookViews>
    <workbookView xWindow="3810" yWindow="3810" windowWidth="21600" windowHeight="11385" tabRatio="725" activeTab="7" xr2:uid="{00000000-000D-0000-FFFF-FFFF00000000}"/>
  </bookViews>
  <sheets>
    <sheet name="Work Order" sheetId="23" r:id="rId1"/>
    <sheet name="Liquid - Top" sheetId="37" r:id="rId2"/>
    <sheet name="Liquid - Bot" sheetId="36" r:id="rId3"/>
    <sheet name="Liquid - Fog" sheetId="32" r:id="rId4"/>
    <sheet name="Aggregate - Top" sheetId="35" r:id="rId5"/>
    <sheet name="Aggregate - Bot" sheetId="34" r:id="rId6"/>
    <sheet name="Samples" sheetId="11" r:id="rId7"/>
    <sheet name="Daily Report" sheetId="21" r:id="rId8"/>
    <sheet name="LessonLearned" sheetId="29" r:id="rId9"/>
    <sheet name="NCR( MTO)" sheetId="22" r:id="rId10"/>
  </sheets>
  <externalReferences>
    <externalReference r:id="rId11"/>
    <externalReference r:id="rId12"/>
  </externalReferences>
  <definedNames>
    <definedName name="ActiveFill" localSheetId="8">[1]Selections!$I$1:$I$3</definedName>
    <definedName name="ActiveFill" localSheetId="9">[1]Selections!$I$1:$I$3</definedName>
    <definedName name="ActiveFill">[2]Selections!$I$1:$I$3</definedName>
    <definedName name="AddAgg" localSheetId="8">[1]Selections!$G$1:$G$5</definedName>
    <definedName name="AddAgg" localSheetId="9">[1]Selections!$G$1:$G$5</definedName>
    <definedName name="AddAgg">[2]Selections!$G$1:$G$5</definedName>
    <definedName name="BinderType" localSheetId="8">[1]Selections!$A$1:$A$6</definedName>
    <definedName name="BinderType" localSheetId="9">[1]Selections!$A$1:$A$6</definedName>
    <definedName name="BinderType">[2]Selections!$A$1:$A$6</definedName>
    <definedName name="DesignMethod" localSheetId="8">[1]Selections!$E$1:$E$3</definedName>
    <definedName name="DesignMethod" localSheetId="9">[1]Selections!$E$1:$E$3</definedName>
    <definedName name="DesignMethod">[2]Selections!$E$1:$E$3</definedName>
    <definedName name="MixType" localSheetId="8">[1]Selections!$C$1:$C$3</definedName>
    <definedName name="MixType" localSheetId="9">[1]Selections!$C$1:$C$3</definedName>
    <definedName name="MixType">[2]Selections!$C$1:$C$3</definedName>
    <definedName name="_xlnm.Print_Area" localSheetId="5">'Aggregate - Bot'!$A$1:$F$36</definedName>
    <definedName name="_xlnm.Print_Area" localSheetId="4">'Aggregate - Top'!$A$1:$F$36</definedName>
    <definedName name="_xlnm.Print_Area" localSheetId="7">'Daily Report'!$A$1:$Q$43</definedName>
    <definedName name="_xlnm.Print_Area" localSheetId="8">LessonLearned!$A$1:$C$46</definedName>
    <definedName name="_xlnm.Print_Area" localSheetId="2">'Liquid - Bot'!$A$1:$F$36</definedName>
    <definedName name="_xlnm.Print_Area" localSheetId="3">'Liquid - Fog'!$A$1:$F$36</definedName>
    <definedName name="_xlnm.Print_Area" localSheetId="1">'Liquid - Top'!$A$1:$F$36</definedName>
    <definedName name="_xlnm.Print_Area" localSheetId="6">Samples!$A$1:$N$74</definedName>
    <definedName name="_xlnm.Print_Titles" localSheetId="5">'Aggregate - Bot'!$1:$6</definedName>
    <definedName name="_xlnm.Print_Titles" localSheetId="4">'Aggregate - Top'!$1:$6</definedName>
    <definedName name="_xlnm.Print_Titles" localSheetId="2">'Liquid - Bot'!$1:$6</definedName>
    <definedName name="_xlnm.Print_Titles" localSheetId="3">'Liquid - Fog'!$1:$6</definedName>
    <definedName name="_xlnm.Print_Titles" localSheetId="1">'Liquid - Top'!$1:$6</definedName>
    <definedName name="_xlnm.Print_Titles" localSheetId="6">Samples!$1:$2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37" l="1"/>
  <c r="E36" i="37"/>
  <c r="B4" i="37"/>
  <c r="E2" i="37"/>
  <c r="B2" i="37"/>
  <c r="E1" i="37"/>
  <c r="F36" i="36"/>
  <c r="E36" i="36"/>
  <c r="B4" i="36"/>
  <c r="E2" i="36"/>
  <c r="B2" i="36"/>
  <c r="E1" i="36"/>
  <c r="F36" i="35"/>
  <c r="E36" i="35"/>
  <c r="B4" i="35"/>
  <c r="E2" i="35"/>
  <c r="B2" i="35"/>
  <c r="E1" i="35"/>
  <c r="F36" i="34"/>
  <c r="E36" i="34"/>
  <c r="B4" i="34"/>
  <c r="E2" i="34"/>
  <c r="B2" i="34"/>
  <c r="E1" i="34"/>
  <c r="F36" i="32"/>
  <c r="E36" i="32"/>
  <c r="B4" i="32"/>
  <c r="E2" i="32"/>
  <c r="B2" i="32"/>
  <c r="E1" i="32"/>
  <c r="C4" i="29" l="1"/>
  <c r="K13" i="21"/>
  <c r="K14" i="21"/>
  <c r="K15" i="21"/>
  <c r="K16" i="21"/>
  <c r="K17" i="21"/>
  <c r="K18" i="21"/>
  <c r="K19" i="21"/>
  <c r="K20" i="21"/>
  <c r="K21" i="21"/>
  <c r="K22" i="21"/>
  <c r="K23" i="21"/>
  <c r="K12" i="21"/>
  <c r="L23" i="21" l="1"/>
  <c r="M23" i="21"/>
  <c r="M18" i="21"/>
  <c r="L18" i="21"/>
  <c r="M12" i="21"/>
  <c r="L12" i="21"/>
  <c r="M16" i="21"/>
  <c r="L16" i="21"/>
  <c r="M19" i="21"/>
  <c r="L19" i="21"/>
  <c r="M17" i="21"/>
  <c r="L17" i="21"/>
  <c r="M15" i="21"/>
  <c r="L15" i="21"/>
  <c r="M22" i="21"/>
  <c r="L22" i="21"/>
  <c r="M13" i="21"/>
  <c r="L13" i="21"/>
  <c r="M14" i="21"/>
  <c r="L14" i="21"/>
  <c r="M21" i="21"/>
  <c r="L21" i="21"/>
  <c r="M20" i="21"/>
  <c r="L20" i="21"/>
  <c r="C5" i="22"/>
  <c r="C3" i="29"/>
  <c r="C2" i="29"/>
  <c r="C1" i="29"/>
  <c r="B8" i="21"/>
  <c r="B6" i="21"/>
  <c r="B5" i="21"/>
  <c r="K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PARSONS, Reg (Aurora)</author>
  </authors>
  <commentList>
    <comment ref="A2" authorId="0" shapeId="0" xr:uid="{0C516FB6-C363-418C-9D91-B8A50CBFE07E}">
      <text>
        <r>
          <rPr>
            <b/>
            <sz val="9"/>
            <color indexed="81"/>
            <rFont val="Tahoma"/>
            <family val="2"/>
          </rPr>
          <t>PARSONS, Reg (Aurora):</t>
        </r>
        <r>
          <rPr>
            <sz val="9"/>
            <color indexed="81"/>
            <rFont val="Tahoma"/>
            <family val="2"/>
          </rPr>
          <t xml:space="preserve">
mm/dd/yyyy
</t>
        </r>
      </text>
    </comment>
  </commentList>
</comments>
</file>

<file path=xl/sharedStrings.xml><?xml version="1.0" encoding="utf-8"?>
<sst xmlns="http://schemas.openxmlformats.org/spreadsheetml/2006/main" count="263" uniqueCount="177">
  <si>
    <t>Location</t>
  </si>
  <si>
    <t>Date</t>
  </si>
  <si>
    <t>Station</t>
  </si>
  <si>
    <t>Lane</t>
  </si>
  <si>
    <t>Miller Job #</t>
  </si>
  <si>
    <t xml:space="preserve"> </t>
  </si>
  <si>
    <t>Date:</t>
  </si>
  <si>
    <t>Time</t>
  </si>
  <si>
    <t>Air Temp</t>
  </si>
  <si>
    <t>Road Temp</t>
  </si>
  <si>
    <t>Location:</t>
  </si>
  <si>
    <t>Contract #</t>
  </si>
  <si>
    <t>Ticket #:</t>
  </si>
  <si>
    <t>Miller Job#</t>
  </si>
  <si>
    <t>Tag Numbers</t>
  </si>
  <si>
    <t>Gross</t>
  </si>
  <si>
    <t>Tare</t>
  </si>
  <si>
    <t>Credit</t>
  </si>
  <si>
    <t xml:space="preserve">   </t>
  </si>
  <si>
    <t>Net</t>
  </si>
  <si>
    <t>Miller Job #:</t>
  </si>
  <si>
    <t>Contract #:</t>
  </si>
  <si>
    <t>Contract No.:</t>
  </si>
  <si>
    <t>Owner:</t>
  </si>
  <si>
    <t>Contract#:</t>
  </si>
  <si>
    <t>Tech</t>
  </si>
  <si>
    <t>Sample Description</t>
  </si>
  <si>
    <t>Lot&amp;Sub</t>
  </si>
  <si>
    <t>Lab Test Requested</t>
  </si>
  <si>
    <t>NON-CONFORMANCE REPORT</t>
  </si>
  <si>
    <t>Contract No. :</t>
  </si>
  <si>
    <t>Miller Paving Ltd.</t>
  </si>
  <si>
    <t>NCR No. :</t>
  </si>
  <si>
    <r>
      <t xml:space="preserve">On </t>
    </r>
    <r>
      <rPr>
        <b/>
        <u/>
        <sz val="10"/>
        <rFont val="Arial"/>
        <family val="2"/>
      </rPr>
      <t xml:space="preserve">                          </t>
    </r>
    <r>
      <rPr>
        <b/>
        <sz val="10"/>
        <rFont val="Arial"/>
        <family val="2"/>
      </rPr>
      <t xml:space="preserve"> , a non-conformance occurred on this contract.
</t>
    </r>
  </si>
  <si>
    <t>Non-conformance to a Quality Performance Requirement</t>
  </si>
  <si>
    <t>Deficien Material or Workmanship</t>
  </si>
  <si>
    <t xml:space="preserve">Identify and Describe the Non-Conformance: </t>
  </si>
  <si>
    <t>Cause of the Non-Conformance:</t>
  </si>
  <si>
    <t xml:space="preserve">Extent of the Non-Conformance: </t>
  </si>
  <si>
    <r>
      <t xml:space="preserve">Proposed Corrective Action: </t>
    </r>
    <r>
      <rPr>
        <sz val="10"/>
        <rFont val="Arial"/>
        <family val="2"/>
      </rPr>
      <t>(How do you propose to correct or mitigate the impact of the non-conformance?)</t>
    </r>
  </si>
  <si>
    <t xml:space="preserve">Non-Conformance Identified By:
Superintendent Quality Control  </t>
  </si>
  <si>
    <t>(Print Name and Position)</t>
  </si>
  <si>
    <t>(Signature)</t>
  </si>
  <si>
    <t>(Date)</t>
  </si>
  <si>
    <r>
      <t xml:space="preserve">Non-Conformance Report Received By:
</t>
    </r>
    <r>
      <rPr>
        <sz val="10"/>
        <rFont val="Arial"/>
        <family val="2"/>
      </rPr>
      <t>(Contract Administrator)</t>
    </r>
  </si>
  <si>
    <t>(Print Name)</t>
  </si>
  <si>
    <t>(Date Received)</t>
  </si>
  <si>
    <t>WORK ORDER</t>
  </si>
  <si>
    <t>Scope of Work</t>
  </si>
  <si>
    <t>Existing Width:</t>
  </si>
  <si>
    <t>Finished Width:</t>
  </si>
  <si>
    <t>Length:</t>
  </si>
  <si>
    <t>Binding Agent:</t>
  </si>
  <si>
    <t>Additives:</t>
  </si>
  <si>
    <t>Specifications:</t>
  </si>
  <si>
    <t>Equipment Storage/Parking/Location:</t>
  </si>
  <si>
    <t>Notes:</t>
  </si>
  <si>
    <t>Other Equipment:</t>
  </si>
  <si>
    <t xml:space="preserve">Service Trucks: </t>
  </si>
  <si>
    <t>Existing Road Condition:</t>
  </si>
  <si>
    <t>Visual description:</t>
  </si>
  <si>
    <t>Distresses locations:</t>
  </si>
  <si>
    <t>Pre-Construction Photos/Videos:</t>
  </si>
  <si>
    <t>Water Hole:</t>
  </si>
  <si>
    <t>Project Information:</t>
  </si>
  <si>
    <t>Owner/Contact:</t>
  </si>
  <si>
    <t>Miller Project No.:</t>
  </si>
  <si>
    <t>General Contractor:</t>
  </si>
  <si>
    <t>Subcontractor:</t>
  </si>
  <si>
    <t>Weather</t>
  </si>
  <si>
    <t>#Samples</t>
  </si>
  <si>
    <t>Daily Sampling Log</t>
  </si>
  <si>
    <t>Type</t>
  </si>
  <si>
    <t>Comments</t>
  </si>
  <si>
    <t>Workmanship</t>
  </si>
  <si>
    <t xml:space="preserve">Location # </t>
  </si>
  <si>
    <t>Traffic</t>
  </si>
  <si>
    <t>Equipment</t>
  </si>
  <si>
    <t>Specification</t>
  </si>
  <si>
    <t>Materials</t>
  </si>
  <si>
    <t>Types (use pull-down list in form):</t>
  </si>
  <si>
    <t>Lessons Learned</t>
  </si>
  <si>
    <r>
      <t>Pavement Temp. (</t>
    </r>
    <r>
      <rPr>
        <b/>
        <sz val="11"/>
        <color theme="1"/>
        <rFont val="Calibri"/>
        <family val="2"/>
      </rPr>
      <t>°</t>
    </r>
    <r>
      <rPr>
        <b/>
        <sz val="7.7"/>
        <color theme="1"/>
        <rFont val="Arial"/>
        <family val="2"/>
      </rPr>
      <t>C)</t>
    </r>
  </si>
  <si>
    <t>Ambient Temp. (°C)</t>
  </si>
  <si>
    <t>Material Type</t>
  </si>
  <si>
    <t>Morning</t>
  </si>
  <si>
    <t>Afternoon</t>
  </si>
  <si>
    <t>Evening</t>
  </si>
  <si>
    <t>Equipment On-Site</t>
  </si>
  <si>
    <t>OPSS:</t>
  </si>
  <si>
    <t>Product Type:</t>
  </si>
  <si>
    <t>Overnight</t>
  </si>
  <si>
    <t>Aggregate Type:</t>
  </si>
  <si>
    <t>Aggregate Source:</t>
  </si>
  <si>
    <t>Tankers:</t>
  </si>
  <si>
    <t>Pick-Up/Stockpiles:</t>
  </si>
  <si>
    <t>Top</t>
  </si>
  <si>
    <t>Weather Log</t>
  </si>
  <si>
    <t>Aggregate Type</t>
  </si>
  <si>
    <t>Emulsion Type</t>
  </si>
  <si>
    <t>Job Details</t>
  </si>
  <si>
    <t>Agg. Stockpile per Spec</t>
  </si>
  <si>
    <t>Joints per Spec</t>
  </si>
  <si>
    <t>Equipment Operation</t>
  </si>
  <si>
    <t>Visual on Emulsion</t>
  </si>
  <si>
    <t>Visual on Aggregate</t>
  </si>
  <si>
    <t>Agg. Sieve Gradation</t>
  </si>
  <si>
    <t>Equipment Calibrated</t>
  </si>
  <si>
    <t>LAYER</t>
  </si>
  <si>
    <t>AGG. USED (kg)</t>
  </si>
  <si>
    <t>WORK AREA</t>
  </si>
  <si>
    <t>LENGTH (m)</t>
  </si>
  <si>
    <t>WIDTH (m)</t>
  </si>
  <si>
    <t>C of A (Y/N)</t>
  </si>
  <si>
    <t>QC CHECKLIST</t>
  </si>
  <si>
    <t>EMULSION TICKETS &amp; QUANTITIES</t>
  </si>
  <si>
    <t>TICKET #</t>
  </si>
  <si>
    <r>
      <t>TEMP (</t>
    </r>
    <r>
      <rPr>
        <b/>
        <sz val="11"/>
        <color theme="1"/>
        <rFont val="Calibri"/>
        <family val="2"/>
      </rPr>
      <t>°</t>
    </r>
    <r>
      <rPr>
        <b/>
        <sz val="11"/>
        <color theme="1"/>
        <rFont val="Arial"/>
        <family val="2"/>
      </rPr>
      <t>C)</t>
    </r>
  </si>
  <si>
    <t>VOLUME (L)</t>
  </si>
  <si>
    <t>Visual on Performed Work</t>
  </si>
  <si>
    <t>Top:</t>
  </si>
  <si>
    <t>Bottom</t>
  </si>
  <si>
    <t>Fog</t>
  </si>
  <si>
    <t>Emulsion Type:</t>
  </si>
  <si>
    <t>Emulsion Source:</t>
  </si>
  <si>
    <t>Bottom:</t>
  </si>
  <si>
    <t>Fog Seal:</t>
  </si>
  <si>
    <t>Target Application Rate</t>
  </si>
  <si>
    <t>Fog-Seal</t>
  </si>
  <si>
    <t>DAILY LOG - GRANULAR SEALING (SURFACE TREATMENT)</t>
  </si>
  <si>
    <t xml:space="preserve">Additivies % </t>
  </si>
  <si>
    <t>Emulsion</t>
  </si>
  <si>
    <t>Aggregate</t>
  </si>
  <si>
    <t>Retarder</t>
  </si>
  <si>
    <t>EMULSION SPRAYED (L)</t>
  </si>
  <si>
    <t>Additives</t>
  </si>
  <si>
    <t>MATERIAL QUANTITIES</t>
  </si>
  <si>
    <t>Target Agg. App. Rate</t>
  </si>
  <si>
    <t>Target Em. App. Rate</t>
  </si>
  <si>
    <t>OIL DISTRIBUTOR</t>
  </si>
  <si>
    <t>NOZZLE ANGLE:</t>
  </si>
  <si>
    <t>NOZZLE HEIGHT:</t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</si>
  <si>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</si>
  <si>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Agg. Coat Test</t>
  </si>
  <si>
    <t>Material Temperatures</t>
  </si>
  <si>
    <t>ROLLERS</t>
  </si>
  <si>
    <t>No. Passes</t>
  </si>
  <si>
    <t>Comments:</t>
  </si>
  <si>
    <r>
      <t>SPREAD RATE (kg/m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</si>
  <si>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SPRAY RATE (L/m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</si>
  <si>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t>*ACTUAL EMULSION SPRAYED MAY NOT EQUAL DELIVERED VOLUME DUE TO TEMPERATURE DIFFERENTIAL</t>
  </si>
  <si>
    <t>LIQUIDS SUMMARY</t>
  </si>
  <si>
    <t>KG or Tonnes (Please Specify):</t>
  </si>
  <si>
    <t>AGGREGATE SUMMARY</t>
  </si>
  <si>
    <t>TOTAL:</t>
  </si>
  <si>
    <t>TICKETS</t>
  </si>
  <si>
    <t>Pre-Work Video Survey</t>
  </si>
  <si>
    <t>Post-Work Video Survey</t>
  </si>
  <si>
    <t>Agg. Moisture</t>
  </si>
  <si>
    <t>Emulsion C of A for All</t>
  </si>
  <si>
    <t>TIME DELIVERED</t>
  </si>
  <si>
    <t>ROAD NAME</t>
  </si>
  <si>
    <t>AGGREGATE TYPE</t>
  </si>
  <si>
    <t>Flare</t>
  </si>
  <si>
    <t>UNIT#</t>
  </si>
  <si>
    <t>Aggregate Application Rate Test</t>
  </si>
  <si>
    <t>Emulsion Application Rate Test</t>
  </si>
  <si>
    <t>METHOD USED</t>
  </si>
  <si>
    <t>TEST 1 RATE</t>
  </si>
  <si>
    <t>TEST 2 RATE</t>
  </si>
  <si>
    <t>TEST 3 RATE</t>
  </si>
  <si>
    <t>DIGITAL READING</t>
  </si>
  <si>
    <t>NOTES</t>
  </si>
  <si>
    <t>START VOLUME</t>
  </si>
  <si>
    <t>FINISH VOLUME</t>
  </si>
  <si>
    <t>TANKER #</t>
  </si>
  <si>
    <t>Lanark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</si>
</sst>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perscript"/>
      <sz val="11"/>
      <color theme="1"/>
      <name val="Arial"/>
      <family val="2"/>
    </font>
    <font>
      <b/>
      <sz val="11"/>
      <color theme="1"/>
      <name val="Calibri"/>
      <family val="2"/>
    </font>
    <font>
      <b/>
      <sz val="7.7"/>
      <color theme="1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3" fillId="0" borderId="0">
      <alignment vertical="center"/>
    </xf>
    <xf numFmtId="14" fontId="2" fillId="0" borderId="0" applyFont="0" applyFill="0" applyBorder="0">
      <alignment horizontal="center" vertical="center"/>
    </xf>
  </cellStyleXfs>
  <cellXfs count="342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Border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9" fillId="0" borderId="0" xfId="0" applyFont="1"/>
    <xf numFmtId="0" fontId="9" fillId="5" borderId="0" xfId="0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7" fillId="5" borderId="1" xfId="0" applyFont="1" applyFill="1" applyBorder="1" applyAlignment="1">
      <alignment horizontal="center"/>
    </xf>
    <xf numFmtId="14" fontId="9" fillId="0" borderId="36" xfId="0" applyNumberFormat="1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9" fillId="0" borderId="31" xfId="0" applyFont="1" applyBorder="1" applyAlignment="1" applyProtection="1">
      <alignment horizontal="center"/>
      <protection locked="0"/>
    </xf>
    <xf numFmtId="3" fontId="9" fillId="0" borderId="31" xfId="0" applyNumberFormat="1" applyFont="1" applyBorder="1" applyAlignment="1" applyProtection="1">
      <alignment horizontal="center"/>
      <protection locked="0"/>
    </xf>
    <xf numFmtId="1" fontId="9" fillId="0" borderId="31" xfId="0" applyNumberFormat="1" applyFont="1" applyBorder="1" applyAlignment="1" applyProtection="1">
      <alignment horizontal="center"/>
      <protection locked="0"/>
    </xf>
    <xf numFmtId="0" fontId="9" fillId="0" borderId="22" xfId="0" applyFont="1" applyBorder="1" applyAlignment="1" applyProtection="1">
      <alignment horizontal="center"/>
      <protection locked="0"/>
    </xf>
    <xf numFmtId="14" fontId="9" fillId="0" borderId="21" xfId="0" applyNumberFormat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1" fontId="9" fillId="0" borderId="23" xfId="0" applyNumberFormat="1" applyFont="1" applyBorder="1" applyAlignment="1" applyProtection="1">
      <alignment horizontal="center"/>
      <protection locked="0"/>
    </xf>
    <xf numFmtId="14" fontId="9" fillId="0" borderId="25" xfId="0" applyNumberFormat="1" applyFont="1" applyBorder="1" applyAlignment="1" applyProtection="1">
      <alignment horizontal="center"/>
      <protection locked="0"/>
    </xf>
    <xf numFmtId="0" fontId="9" fillId="0" borderId="26" xfId="0" applyFont="1" applyBorder="1" applyAlignment="1" applyProtection="1">
      <alignment horizontal="center"/>
      <protection locked="0"/>
    </xf>
    <xf numFmtId="0" fontId="9" fillId="0" borderId="27" xfId="0" applyFont="1" applyBorder="1" applyAlignment="1" applyProtection="1">
      <alignment horizontal="center"/>
      <protection locked="0"/>
    </xf>
    <xf numFmtId="1" fontId="9" fillId="0" borderId="27" xfId="0" applyNumberFormat="1" applyFont="1" applyBorder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/>
    </xf>
    <xf numFmtId="1" fontId="9" fillId="2" borderId="0" xfId="0" applyNumberFormat="1" applyFont="1" applyFill="1" applyAlignment="1">
      <alignment horizontal="center"/>
    </xf>
    <xf numFmtId="14" fontId="1" fillId="0" borderId="22" xfId="0" applyNumberFormat="1" applyFont="1" applyBorder="1" applyAlignment="1" applyProtection="1">
      <alignment horizontal="center"/>
      <protection locked="0"/>
    </xf>
    <xf numFmtId="0" fontId="0" fillId="0" borderId="0" xfId="0"/>
    <xf numFmtId="0" fontId="10" fillId="0" borderId="0" xfId="0" applyFont="1" applyAlignment="1">
      <alignment vertical="center" wrapText="1"/>
    </xf>
    <xf numFmtId="0" fontId="8" fillId="0" borderId="0" xfId="0" applyFont="1" applyAlignment="1">
      <alignment horizontal="right"/>
    </xf>
    <xf numFmtId="0" fontId="0" fillId="0" borderId="11" xfId="0" applyBorder="1" applyAlignment="1">
      <alignment horizontal="left"/>
    </xf>
    <xf numFmtId="0" fontId="8" fillId="0" borderId="1" xfId="0" applyFont="1" applyBorder="1" applyAlignment="1">
      <alignment vertical="top"/>
    </xf>
    <xf numFmtId="0" fontId="9" fillId="0" borderId="21" xfId="0" applyFont="1" applyBorder="1" applyAlignment="1" applyProtection="1">
      <alignment horizontal="right"/>
      <protection locked="0"/>
    </xf>
    <xf numFmtId="0" fontId="9" fillId="0" borderId="24" xfId="0" applyFont="1" applyBorder="1" applyAlignment="1" applyProtection="1">
      <alignment horizontal="right"/>
      <protection locked="0"/>
    </xf>
    <xf numFmtId="0" fontId="9" fillId="0" borderId="22" xfId="0" applyFont="1" applyBorder="1" applyAlignment="1" applyProtection="1">
      <alignment horizontal="right"/>
      <protection locked="0"/>
    </xf>
    <xf numFmtId="49" fontId="0" fillId="0" borderId="0" xfId="0" applyNumberFormat="1"/>
    <xf numFmtId="49" fontId="12" fillId="0" borderId="0" xfId="0" applyNumberFormat="1" applyFont="1" applyAlignment="1">
      <alignment horizontal="left"/>
    </xf>
    <xf numFmtId="49" fontId="0" fillId="0" borderId="0" xfId="0" applyNumberFormat="1" applyBorder="1" applyAlignment="1"/>
    <xf numFmtId="49" fontId="0" fillId="0" borderId="0" xfId="0" applyNumberFormat="1" applyFont="1" applyBorder="1" applyAlignment="1">
      <alignment horizontal="center"/>
    </xf>
    <xf numFmtId="49" fontId="12" fillId="0" borderId="0" xfId="0" applyNumberFormat="1" applyFont="1"/>
    <xf numFmtId="49" fontId="0" fillId="0" borderId="0" xfId="0" applyNumberFormat="1" applyBorder="1" applyAlignment="1">
      <alignment vertical="top"/>
    </xf>
    <xf numFmtId="49" fontId="12" fillId="0" borderId="0" xfId="0" applyNumberFormat="1" applyFont="1" applyBorder="1" applyAlignment="1">
      <alignment vertical="top"/>
    </xf>
    <xf numFmtId="0" fontId="9" fillId="0" borderId="21" xfId="0" applyFont="1" applyBorder="1"/>
    <xf numFmtId="0" fontId="9" fillId="0" borderId="25" xfId="0" applyFont="1" applyBorder="1"/>
    <xf numFmtId="49" fontId="1" fillId="0" borderId="0" xfId="0" applyNumberFormat="1" applyFont="1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vertical="top"/>
    </xf>
    <xf numFmtId="0" fontId="0" fillId="0" borderId="0" xfId="0" applyBorder="1"/>
    <xf numFmtId="0" fontId="0" fillId="0" borderId="22" xfId="0" applyBorder="1"/>
    <xf numFmtId="0" fontId="1" fillId="0" borderId="0" xfId="0" applyFont="1"/>
    <xf numFmtId="0" fontId="7" fillId="5" borderId="0" xfId="0" applyFont="1" applyFill="1" applyBorder="1" applyAlignment="1">
      <alignment vertical="center"/>
    </xf>
    <xf numFmtId="0" fontId="7" fillId="5" borderId="0" xfId="0" applyNumberFormat="1" applyFont="1" applyFill="1" applyBorder="1" applyAlignment="1">
      <alignment vertical="center"/>
    </xf>
    <xf numFmtId="0" fontId="0" fillId="0" borderId="0" xfId="0" applyFill="1" applyBorder="1"/>
    <xf numFmtId="0" fontId="9" fillId="0" borderId="2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7" fillId="5" borderId="22" xfId="0" applyFont="1" applyFill="1" applyBorder="1" applyAlignment="1">
      <alignment horizontal="center"/>
    </xf>
    <xf numFmtId="0" fontId="9" fillId="0" borderId="41" xfId="0" applyFont="1" applyBorder="1" applyAlignment="1">
      <alignment horizontal="center"/>
    </xf>
    <xf numFmtId="164" fontId="7" fillId="4" borderId="4" xfId="1" applyFont="1" applyFill="1" applyBorder="1" applyAlignment="1">
      <alignment horizontal="center"/>
    </xf>
    <xf numFmtId="0" fontId="7" fillId="3" borderId="22" xfId="0" applyFont="1" applyFill="1" applyBorder="1" applyAlignment="1">
      <alignment vertical="center"/>
    </xf>
    <xf numFmtId="49" fontId="9" fillId="3" borderId="22" xfId="0" applyNumberFormat="1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10" fillId="5" borderId="43" xfId="0" applyFont="1" applyFill="1" applyBorder="1" applyAlignment="1">
      <alignment horizontal="center"/>
    </xf>
    <xf numFmtId="0" fontId="9" fillId="0" borderId="29" xfId="0" applyFont="1" applyBorder="1" applyAlignment="1" applyProtection="1">
      <alignment horizontal="right"/>
      <protection locked="0"/>
    </xf>
    <xf numFmtId="0" fontId="9" fillId="3" borderId="22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0" borderId="9" xfId="0" applyFont="1" applyBorder="1"/>
    <xf numFmtId="0" fontId="9" fillId="0" borderId="22" xfId="0" applyFont="1" applyBorder="1" applyAlignment="1">
      <alignment horizontal="center"/>
    </xf>
    <xf numFmtId="0" fontId="9" fillId="0" borderId="24" xfId="0" applyFont="1" applyBorder="1"/>
    <xf numFmtId="0" fontId="9" fillId="0" borderId="28" xfId="0" applyFont="1" applyBorder="1"/>
    <xf numFmtId="0" fontId="9" fillId="0" borderId="36" xfId="0" applyFont="1" applyBorder="1"/>
    <xf numFmtId="0" fontId="9" fillId="0" borderId="44" xfId="0" applyFont="1" applyBorder="1"/>
    <xf numFmtId="0" fontId="7" fillId="6" borderId="42" xfId="0" applyFont="1" applyFill="1" applyBorder="1" applyAlignment="1">
      <alignment horizontal="center" vertical="center" wrapText="1"/>
    </xf>
    <xf numFmtId="0" fontId="7" fillId="6" borderId="45" xfId="0" applyFont="1" applyFill="1" applyBorder="1" applyAlignment="1">
      <alignment horizontal="center" vertical="center" wrapText="1"/>
    </xf>
    <xf numFmtId="0" fontId="7" fillId="6" borderId="46" xfId="0" applyFont="1" applyFill="1" applyBorder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7" xfId="0" applyFont="1" applyFill="1" applyBorder="1" applyAlignment="1">
      <alignment horizontal="center" vertical="center" wrapText="1"/>
    </xf>
    <xf numFmtId="0" fontId="7" fillId="6" borderId="26" xfId="0" applyFont="1" applyFill="1" applyBorder="1" applyAlignment="1">
      <alignment horizontal="center" vertical="center"/>
    </xf>
    <xf numFmtId="0" fontId="9" fillId="0" borderId="33" xfId="0" applyFont="1" applyBorder="1"/>
    <xf numFmtId="0" fontId="9" fillId="0" borderId="3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3" borderId="22" xfId="0" applyNumberFormat="1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9" fontId="1" fillId="0" borderId="22" xfId="0" applyNumberFormat="1" applyFont="1" applyBorder="1" applyAlignment="1">
      <alignment horizontal="center" vertical="center"/>
    </xf>
    <xf numFmtId="49" fontId="1" fillId="0" borderId="22" xfId="0" applyNumberFormat="1" applyFont="1" applyBorder="1" applyAlignment="1"/>
    <xf numFmtId="49" fontId="1" fillId="0" borderId="0" xfId="0" applyNumberFormat="1" applyFont="1" applyBorder="1" applyAlignment="1"/>
    <xf numFmtId="0" fontId="10" fillId="5" borderId="48" xfId="0" applyFont="1" applyFill="1" applyBorder="1"/>
    <xf numFmtId="0" fontId="10" fillId="5" borderId="37" xfId="0" applyFont="1" applyFill="1" applyBorder="1"/>
    <xf numFmtId="0" fontId="10" fillId="5" borderId="38" xfId="0" applyFont="1" applyFill="1" applyBorder="1"/>
    <xf numFmtId="0" fontId="10" fillId="5" borderId="7" xfId="0" applyFont="1" applyFill="1" applyBorder="1"/>
    <xf numFmtId="0" fontId="10" fillId="5" borderId="19" xfId="0" applyFont="1" applyFill="1" applyBorder="1" applyAlignment="1">
      <alignment horizontal="center"/>
    </xf>
    <xf numFmtId="0" fontId="9" fillId="0" borderId="23" xfId="0" applyFont="1" applyBorder="1" applyAlignment="1" applyProtection="1">
      <alignment horizontal="right"/>
      <protection locked="0"/>
    </xf>
    <xf numFmtId="0" fontId="9" fillId="0" borderId="49" xfId="0" applyFont="1" applyBorder="1" applyAlignment="1" applyProtection="1">
      <alignment horizontal="right"/>
      <protection locked="0"/>
    </xf>
    <xf numFmtId="0" fontId="9" fillId="0" borderId="16" xfId="0" applyFont="1" applyBorder="1" applyAlignment="1" applyProtection="1">
      <alignment horizontal="right"/>
      <protection locked="0"/>
    </xf>
    <xf numFmtId="0" fontId="9" fillId="0" borderId="50" xfId="0" applyFont="1" applyBorder="1" applyAlignment="1" applyProtection="1">
      <alignment horizontal="right"/>
      <protection locked="0"/>
    </xf>
    <xf numFmtId="0" fontId="9" fillId="0" borderId="26" xfId="0" applyFont="1" applyBorder="1" applyAlignment="1">
      <alignment horizontal="center"/>
    </xf>
    <xf numFmtId="0" fontId="9" fillId="0" borderId="51" xfId="0" applyFont="1" applyBorder="1" applyAlignment="1">
      <alignment horizontal="center"/>
    </xf>
    <xf numFmtId="0" fontId="10" fillId="5" borderId="39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horizontal="center" vertical="center"/>
    </xf>
    <xf numFmtId="0" fontId="10" fillId="5" borderId="40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7" fillId="0" borderId="0" xfId="0" applyFont="1"/>
    <xf numFmtId="0" fontId="7" fillId="5" borderId="1" xfId="0" applyFont="1" applyFill="1" applyBorder="1" applyAlignment="1">
      <alignment horizontal="right"/>
    </xf>
    <xf numFmtId="0" fontId="9" fillId="0" borderId="0" xfId="0" applyFont="1" applyFill="1"/>
    <xf numFmtId="164" fontId="7" fillId="5" borderId="2" xfId="1" applyFont="1" applyFill="1" applyBorder="1" applyAlignment="1"/>
    <xf numFmtId="164" fontId="7" fillId="5" borderId="1" xfId="1" applyFont="1" applyFill="1" applyBorder="1" applyAlignment="1"/>
    <xf numFmtId="0" fontId="9" fillId="0" borderId="17" xfId="0" applyFont="1" applyBorder="1"/>
    <xf numFmtId="0" fontId="9" fillId="0" borderId="20" xfId="0" applyFont="1" applyBorder="1"/>
    <xf numFmtId="0" fontId="7" fillId="5" borderId="25" xfId="0" applyFont="1" applyFill="1" applyBorder="1" applyAlignment="1">
      <alignment horizontal="center"/>
    </xf>
    <xf numFmtId="0" fontId="13" fillId="0" borderId="22" xfId="0" applyFont="1" applyBorder="1"/>
    <xf numFmtId="15" fontId="0" fillId="0" borderId="22" xfId="0" applyNumberFormat="1" applyBorder="1"/>
    <xf numFmtId="0" fontId="9" fillId="0" borderId="21" xfId="0" applyFont="1" applyFill="1" applyBorder="1"/>
    <xf numFmtId="0" fontId="9" fillId="0" borderId="24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49" fontId="7" fillId="3" borderId="3" xfId="0" applyNumberFormat="1" applyFont="1" applyFill="1" applyBorder="1" applyAlignment="1">
      <alignment horizontal="center" vertical="center"/>
    </xf>
    <xf numFmtId="0" fontId="7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49" fontId="9" fillId="3" borderId="17" xfId="0" applyNumberFormat="1" applyFont="1" applyFill="1" applyBorder="1" applyAlignment="1">
      <alignment horizontal="center"/>
    </xf>
    <xf numFmtId="49" fontId="9" fillId="3" borderId="18" xfId="0" applyNumberFormat="1" applyFont="1" applyFill="1" applyBorder="1" applyAlignment="1">
      <alignment horizontal="center"/>
    </xf>
    <xf numFmtId="49" fontId="9" fillId="3" borderId="20" xfId="0" applyNumberFormat="1" applyFont="1" applyFill="1" applyBorder="1" applyAlignment="1">
      <alignment horizontal="center"/>
    </xf>
    <xf numFmtId="0" fontId="9" fillId="0" borderId="25" xfId="0" applyFont="1" applyBorder="1" applyAlignment="1" applyProtection="1">
      <protection locked="0"/>
    </xf>
    <xf numFmtId="0" fontId="9" fillId="0" borderId="26" xfId="0" applyFont="1" applyBorder="1" applyAlignment="1" applyProtection="1">
      <protection locked="0"/>
    </xf>
    <xf numFmtId="0" fontId="9" fillId="0" borderId="28" xfId="0" applyFont="1" applyBorder="1" applyAlignment="1" applyProtection="1">
      <protection locked="0"/>
    </xf>
    <xf numFmtId="0" fontId="10" fillId="5" borderId="1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5" borderId="3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55" xfId="0" applyFont="1" applyBorder="1"/>
    <xf numFmtId="0" fontId="9" fillId="0" borderId="56" xfId="0" applyFont="1" applyBorder="1"/>
    <xf numFmtId="0" fontId="9" fillId="5" borderId="52" xfId="0" applyFont="1" applyFill="1" applyBorder="1" applyAlignment="1">
      <alignment horizontal="center"/>
    </xf>
    <xf numFmtId="0" fontId="9" fillId="0" borderId="48" xfId="0" applyFont="1" applyBorder="1"/>
    <xf numFmtId="0" fontId="9" fillId="0" borderId="38" xfId="0" applyFont="1" applyBorder="1"/>
    <xf numFmtId="0" fontId="9" fillId="0" borderId="0" xfId="0" applyFont="1" applyBorder="1"/>
    <xf numFmtId="0" fontId="7" fillId="0" borderId="57" xfId="0" applyFont="1" applyBorder="1"/>
    <xf numFmtId="0" fontId="18" fillId="7" borderId="39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/>
    </xf>
    <xf numFmtId="0" fontId="18" fillId="7" borderId="47" xfId="0" applyFont="1" applyFill="1" applyBorder="1" applyAlignment="1">
      <alignment horizontal="center" wrapText="1"/>
    </xf>
    <xf numFmtId="0" fontId="18" fillId="0" borderId="36" xfId="0" applyFont="1" applyBorder="1"/>
    <xf numFmtId="0" fontId="19" fillId="0" borderId="30" xfId="0" applyFont="1" applyBorder="1"/>
    <xf numFmtId="0" fontId="19" fillId="0" borderId="44" xfId="0" applyFont="1" applyBorder="1"/>
    <xf numFmtId="0" fontId="18" fillId="0" borderId="21" xfId="0" applyFont="1" applyBorder="1"/>
    <xf numFmtId="0" fontId="19" fillId="0" borderId="22" xfId="0" applyFont="1" applyBorder="1"/>
    <xf numFmtId="0" fontId="19" fillId="0" borderId="24" xfId="0" applyFont="1" applyBorder="1"/>
    <xf numFmtId="0" fontId="18" fillId="7" borderId="40" xfId="0" applyFont="1" applyFill="1" applyBorder="1" applyAlignment="1">
      <alignment horizontal="center" wrapText="1"/>
    </xf>
    <xf numFmtId="0" fontId="9" fillId="0" borderId="34" xfId="0" applyFont="1" applyBorder="1"/>
    <xf numFmtId="0" fontId="9" fillId="0" borderId="5" xfId="0" applyFont="1" applyBorder="1"/>
    <xf numFmtId="0" fontId="9" fillId="0" borderId="10" xfId="0" applyFont="1" applyBorder="1"/>
    <xf numFmtId="0" fontId="9" fillId="0" borderId="6" xfId="0" applyFont="1" applyBorder="1"/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top"/>
    </xf>
    <xf numFmtId="49" fontId="0" fillId="0" borderId="8" xfId="0" applyNumberFormat="1" applyBorder="1" applyAlignment="1">
      <alignment horizontal="center" vertical="top"/>
    </xf>
    <xf numFmtId="49" fontId="0" fillId="0" borderId="32" xfId="0" applyNumberFormat="1" applyBorder="1" applyAlignment="1">
      <alignment horizontal="center" vertical="top"/>
    </xf>
    <xf numFmtId="49" fontId="0" fillId="0" borderId="33" xfId="0" applyNumberFormat="1" applyBorder="1" applyAlignment="1">
      <alignment horizontal="center" vertical="top"/>
    </xf>
    <xf numFmtId="49" fontId="0" fillId="0" borderId="0" xfId="0" applyNumberFormat="1" applyBorder="1" applyAlignment="1">
      <alignment horizontal="center" vertical="top"/>
    </xf>
    <xf numFmtId="49" fontId="0" fillId="0" borderId="34" xfId="0" applyNumberFormat="1" applyBorder="1" applyAlignment="1">
      <alignment horizontal="center" vertical="top"/>
    </xf>
    <xf numFmtId="49" fontId="0" fillId="0" borderId="5" xfId="0" applyNumberFormat="1" applyBorder="1" applyAlignment="1">
      <alignment horizontal="center" vertical="top"/>
    </xf>
    <xf numFmtId="49" fontId="0" fillId="0" borderId="10" xfId="0" applyNumberFormat="1" applyBorder="1" applyAlignment="1">
      <alignment horizontal="center" vertical="top"/>
    </xf>
    <xf numFmtId="49" fontId="0" fillId="0" borderId="6" xfId="0" applyNumberFormat="1" applyBorder="1" applyAlignment="1">
      <alignment horizontal="center" vertical="top"/>
    </xf>
    <xf numFmtId="0" fontId="0" fillId="0" borderId="11" xfId="0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12" xfId="0" applyNumberFormat="1" applyFont="1" applyBorder="1" applyAlignment="1">
      <alignment horizontal="center"/>
    </xf>
    <xf numFmtId="0" fontId="0" fillId="0" borderId="12" xfId="0" applyNumberFormat="1" applyFont="1" applyBorder="1" applyAlignment="1">
      <alignment horizontal="center"/>
    </xf>
    <xf numFmtId="49" fontId="0" fillId="0" borderId="11" xfId="0" applyNumberFormat="1" applyBorder="1" applyAlignment="1">
      <alignment horizontal="center" vertical="top"/>
    </xf>
    <xf numFmtId="49" fontId="0" fillId="0" borderId="23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7" fillId="0" borderId="2" xfId="1" applyFont="1" applyFill="1" applyBorder="1" applyAlignment="1">
      <alignment horizontal="center"/>
    </xf>
    <xf numFmtId="164" fontId="7" fillId="0" borderId="3" xfId="1" applyFont="1" applyFill="1" applyBorder="1" applyAlignment="1">
      <alignment horizontal="center"/>
    </xf>
    <xf numFmtId="164" fontId="7" fillId="0" borderId="4" xfId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49" fontId="9" fillId="3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5" borderId="52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0" fontId="7" fillId="3" borderId="9" xfId="0" applyNumberFormat="1" applyFont="1" applyFill="1" applyBorder="1" applyAlignment="1">
      <alignment horizontal="center" vertical="center"/>
    </xf>
    <xf numFmtId="0" fontId="7" fillId="3" borderId="32" xfId="0" applyNumberFormat="1" applyFont="1" applyFill="1" applyBorder="1" applyAlignment="1">
      <alignment horizontal="center" vertical="center"/>
    </xf>
    <xf numFmtId="0" fontId="7" fillId="3" borderId="5" xfId="0" applyNumberFormat="1" applyFont="1" applyFill="1" applyBorder="1" applyAlignment="1">
      <alignment horizontal="center" vertical="center"/>
    </xf>
    <xf numFmtId="0" fontId="7" fillId="3" borderId="6" xfId="0" applyNumberFormat="1" applyFont="1" applyFill="1" applyBorder="1" applyAlignment="1">
      <alignment horizontal="center" vertical="center"/>
    </xf>
    <xf numFmtId="49" fontId="7" fillId="3" borderId="4" xfId="0" applyNumberFormat="1" applyFont="1" applyFill="1" applyBorder="1" applyAlignment="1">
      <alignment horizontal="center" vertical="center"/>
    </xf>
    <xf numFmtId="49" fontId="9" fillId="3" borderId="39" xfId="0" applyNumberFormat="1" applyFont="1" applyFill="1" applyBorder="1" applyAlignment="1">
      <alignment horizontal="center"/>
    </xf>
    <xf numFmtId="0" fontId="9" fillId="3" borderId="40" xfId="0" applyFont="1" applyFill="1" applyBorder="1" applyAlignment="1">
      <alignment horizontal="center"/>
    </xf>
    <xf numFmtId="0" fontId="7" fillId="5" borderId="48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 vertical="center"/>
    </xf>
    <xf numFmtId="0" fontId="7" fillId="3" borderId="17" xfId="0" applyNumberFormat="1" applyFont="1" applyFill="1" applyBorder="1" applyAlignment="1">
      <alignment horizontal="center" vertical="center"/>
    </xf>
    <xf numFmtId="0" fontId="7" fillId="3" borderId="20" xfId="0" applyNumberFormat="1" applyFont="1" applyFill="1" applyBorder="1" applyAlignment="1">
      <alignment horizontal="center" vertical="center"/>
    </xf>
    <xf numFmtId="0" fontId="7" fillId="3" borderId="25" xfId="0" applyNumberFormat="1" applyFont="1" applyFill="1" applyBorder="1" applyAlignment="1">
      <alignment horizontal="center" vertical="center"/>
    </xf>
    <xf numFmtId="0" fontId="7" fillId="3" borderId="28" xfId="0" applyNumberFormat="1" applyFont="1" applyFill="1" applyBorder="1" applyAlignment="1">
      <alignment horizontal="center" vertical="center"/>
    </xf>
    <xf numFmtId="0" fontId="1" fillId="0" borderId="22" xfId="0" applyFont="1" applyBorder="1" applyAlignment="1" applyProtection="1">
      <alignment horizontal="center"/>
      <protection locked="0"/>
    </xf>
    <xf numFmtId="49" fontId="1" fillId="0" borderId="22" xfId="0" applyNumberFormat="1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49" fontId="7" fillId="3" borderId="22" xfId="0" applyNumberFormat="1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/>
    </xf>
    <xf numFmtId="2" fontId="1" fillId="0" borderId="22" xfId="0" applyNumberFormat="1" applyFon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0" fontId="7" fillId="5" borderId="16" xfId="0" applyFont="1" applyFill="1" applyBorder="1" applyAlignment="1">
      <alignment horizontal="center" vertical="center" wrapText="1"/>
    </xf>
    <xf numFmtId="0" fontId="7" fillId="5" borderId="30" xfId="0" applyFont="1" applyFill="1" applyBorder="1" applyAlignment="1">
      <alignment horizontal="center" vertical="center" wrapText="1"/>
    </xf>
    <xf numFmtId="49" fontId="7" fillId="3" borderId="2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0" fillId="3" borderId="29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/>
    </xf>
    <xf numFmtId="0" fontId="10" fillId="5" borderId="21" xfId="0" applyFont="1" applyFill="1" applyBorder="1"/>
    <xf numFmtId="0" fontId="9" fillId="5" borderId="24" xfId="0" applyFont="1" applyFill="1" applyBorder="1"/>
    <xf numFmtId="0" fontId="7" fillId="6" borderId="9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10" fillId="3" borderId="42" xfId="0" applyFont="1" applyFill="1" applyBorder="1" applyAlignment="1">
      <alignment horizontal="center"/>
    </xf>
    <xf numFmtId="0" fontId="10" fillId="3" borderId="45" xfId="0" applyFont="1" applyFill="1" applyBorder="1" applyAlignment="1">
      <alignment horizontal="center"/>
    </xf>
    <xf numFmtId="0" fontId="10" fillId="3" borderId="47" xfId="0" applyFont="1" applyFill="1" applyBorder="1" applyAlignment="1">
      <alignment horizontal="center"/>
    </xf>
    <xf numFmtId="0" fontId="10" fillId="3" borderId="40" xfId="0" applyFont="1" applyFill="1" applyBorder="1" applyAlignment="1">
      <alignment horizontal="center"/>
    </xf>
    <xf numFmtId="49" fontId="10" fillId="3" borderId="3" xfId="0" applyNumberFormat="1" applyFont="1" applyFill="1" applyBorder="1" applyAlignment="1">
      <alignment horizontal="center"/>
    </xf>
    <xf numFmtId="0" fontId="10" fillId="5" borderId="2" xfId="0" applyFont="1" applyFill="1" applyBorder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5" borderId="25" xfId="0" applyFont="1" applyFill="1" applyBorder="1"/>
    <xf numFmtId="0" fontId="9" fillId="5" borderId="28" xfId="0" applyFont="1" applyFill="1" applyBorder="1"/>
    <xf numFmtId="0" fontId="7" fillId="6" borderId="17" xfId="0" applyFont="1" applyFill="1" applyBorder="1" applyAlignment="1">
      <alignment horizontal="center" vertical="center"/>
    </xf>
    <xf numFmtId="0" fontId="7" fillId="6" borderId="20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9" fillId="0" borderId="23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53" xfId="0" applyFont="1" applyBorder="1" applyAlignment="1">
      <alignment horizontal="center"/>
    </xf>
    <xf numFmtId="0" fontId="18" fillId="7" borderId="2" xfId="0" applyFont="1" applyFill="1" applyBorder="1" applyAlignment="1">
      <alignment horizontal="center"/>
    </xf>
    <xf numFmtId="0" fontId="18" fillId="7" borderId="3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0" fillId="5" borderId="33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9" fillId="0" borderId="44" xfId="0" applyFont="1" applyBorder="1" applyAlignment="1">
      <alignment horizontal="center"/>
    </xf>
    <xf numFmtId="0" fontId="10" fillId="5" borderId="17" xfId="0" applyFont="1" applyFill="1" applyBorder="1" applyAlignment="1">
      <alignment horizontal="left"/>
    </xf>
    <xf numFmtId="0" fontId="9" fillId="5" borderId="20" xfId="0" applyFont="1" applyFill="1" applyBorder="1"/>
    <xf numFmtId="49" fontId="10" fillId="3" borderId="29" xfId="0" applyNumberFormat="1" applyFont="1" applyFill="1" applyBorder="1" applyAlignment="1">
      <alignment horizontal="center"/>
    </xf>
    <xf numFmtId="0" fontId="10" fillId="5" borderId="21" xfId="0" applyFont="1" applyFill="1" applyBorder="1" applyAlignment="1">
      <alignment vertical="distributed"/>
    </xf>
    <xf numFmtId="0" fontId="9" fillId="5" borderId="24" xfId="0" applyFont="1" applyFill="1" applyBorder="1" applyAlignment="1">
      <alignment vertical="distributed"/>
    </xf>
    <xf numFmtId="0" fontId="10" fillId="5" borderId="3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32" xfId="0" applyFont="1" applyBorder="1" applyAlignment="1">
      <alignment horizontal="left" vertical="top"/>
    </xf>
    <xf numFmtId="0" fontId="9" fillId="0" borderId="33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4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0" fontId="9" fillId="5" borderId="10" xfId="0" applyFont="1" applyFill="1" applyBorder="1" applyAlignment="1">
      <alignment horizontal="left"/>
    </xf>
    <xf numFmtId="0" fontId="7" fillId="6" borderId="18" xfId="0" applyFont="1" applyFill="1" applyBorder="1" applyAlignment="1">
      <alignment horizontal="center" vertical="center"/>
    </xf>
    <xf numFmtId="0" fontId="7" fillId="6" borderId="52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2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5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7" fillId="6" borderId="27" xfId="0" applyFont="1" applyFill="1" applyBorder="1" applyAlignment="1">
      <alignment horizontal="center" vertical="center"/>
    </xf>
    <xf numFmtId="0" fontId="7" fillId="6" borderId="5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center"/>
    </xf>
    <xf numFmtId="0" fontId="3" fillId="0" borderId="9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2" xfId="0" applyFont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8" fillId="0" borderId="11" xfId="0" applyFont="1" applyBorder="1" applyAlignment="1">
      <alignment horizontal="left" vertical="center" wrapText="1" indent="1"/>
    </xf>
    <xf numFmtId="0" fontId="3" fillId="0" borderId="23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center" wrapText="1" indent="1"/>
    </xf>
    <xf numFmtId="0" fontId="8" fillId="0" borderId="35" xfId="0" applyFont="1" applyBorder="1" applyAlignment="1">
      <alignment horizontal="left" wrapText="1" indent="1"/>
    </xf>
    <xf numFmtId="0" fontId="8" fillId="0" borderId="8" xfId="0" applyFont="1" applyBorder="1" applyAlignment="1">
      <alignment horizontal="right" vertical="top" wrapText="1"/>
    </xf>
    <xf numFmtId="0" fontId="8" fillId="0" borderId="0" xfId="0" applyFont="1" applyAlignment="1">
      <alignment horizontal="right" vertical="top" wrapText="1"/>
    </xf>
    <xf numFmtId="0" fontId="3" fillId="0" borderId="14" xfId="0" applyFont="1" applyBorder="1" applyAlignment="1">
      <alignment horizontal="left" vertical="center"/>
    </xf>
    <xf numFmtId="0" fontId="3" fillId="0" borderId="8" xfId="0" applyFont="1" applyBorder="1" applyAlignment="1">
      <alignment horizontal="left"/>
    </xf>
    <xf numFmtId="0" fontId="8" fillId="0" borderId="12" xfId="0" applyFont="1" applyBorder="1" applyAlignment="1">
      <alignment horizontal="left" vertical="center" wrapText="1"/>
    </xf>
    <xf numFmtId="0" fontId="3" fillId="0" borderId="0" xfId="0" applyFont="1" applyAlignment="1">
      <alignment horizontal="left" wrapText="1"/>
    </xf>
    <xf numFmtId="15" fontId="8" fillId="0" borderId="12" xfId="0" applyNumberFormat="1" applyFont="1" applyBorder="1" applyAlignment="1">
      <alignment horizontal="left" vertical="center" wrapText="1"/>
    </xf>
    <xf numFmtId="0" fontId="8" fillId="0" borderId="11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left" vertical="center"/>
    </xf>
    <xf numFmtId="0" fontId="3" fillId="0" borderId="0" xfId="0" applyFont="1" applyAlignment="1">
      <alignment horizontal="left"/>
    </xf>
  </cellXfs>
  <cellStyles count="4">
    <cellStyle name="Comma" xfId="1" builtinId="3"/>
    <cellStyle name="Date" xfId="3" xr:uid="{9E5FB635-8B93-4E84-B95D-25FD916C1CB4}"/>
    <cellStyle name="Normal" xfId="0" builtinId="0"/>
    <cellStyle name="Normal 2" xfId="2" xr:uid="{00000000-0005-0000-0000-000003000000}"/>
  </cellStyles>
  <dxfs count="5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6755</xdr:colOff>
      <xdr:row>0</xdr:row>
      <xdr:rowOff>6755</xdr:rowOff>
    </xdr:from>
    <xdr:to>
      <xdr:col>1</xdr:col>
      <xdr:colOff>0</xdr:colOff>
      <xdr:row>1</xdr:row>
      <xdr:rowOff>0</xdr:rowOff>
    </xdr:to>
    <xdr:sp macro="[0]!NewDailyRepo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60" y="8660"/>
          <a:ext cx="1334365" cy="2675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New Daily</a:t>
          </a:r>
          <a:r>
            <a:rPr lang="en-CA" sz="1100" baseline="0"/>
            <a:t> Report</a:t>
          </a:r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344170</xdr:colOff>
      <xdr:row>1</xdr:row>
      <xdr:rowOff>21590</xdr:rowOff>
    </xdr:from>
    <xdr:to>
      <xdr:col>13</xdr:col>
      <xdr:colOff>486410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4945" y="202565"/>
          <a:ext cx="751840" cy="14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9</xdr:col>
      <xdr:colOff>1365250</xdr:colOff>
      <xdr:row>2</xdr:row>
      <xdr:rowOff>88900</xdr:rowOff>
    </xdr:to>
    <xdr:pic>
      <xdr:nvPicPr>
        <xdr:cNvPr id="3" name="Picture 64" descr="NEW_Ont_logo_blk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9" t="19714" r="6340" b="16678"/>
        <a:stretch>
          <a:fillRect/>
        </a:stretch>
      </xdr:blipFill>
      <xdr:spPr bwMode="auto">
        <a:xfrm>
          <a:off x="7802880" y="182880"/>
          <a:ext cx="1365250" cy="4165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165100</xdr:colOff>
      <xdr:row>0</xdr:row>
      <xdr:rowOff>177800</xdr:rowOff>
    </xdr:from>
    <xdr:to>
      <xdr:col>2</xdr:col>
      <xdr:colOff>0</xdr:colOff>
      <xdr:row>1</xdr:row>
      <xdr:rowOff>323850</xdr:rowOff>
    </xdr:to>
    <xdr:sp macro="[0]!Module1.NewDailyRepo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5100" y="177800"/>
          <a:ext cx="1092200" cy="3289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Add new NCR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.sharepoint.com/Users/Parsonr/Desktop/Admin/new%20job%20folder/Mix%20Design%20Request%20Te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olase4-my.sharepoint.com/Users/Parsonr/Desktop/Admin/new%20job%20folder/Mix%20Design%20Request%20Tem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SS-1H"/>
      <sheetName val="Selections"/>
    </sheetNames>
    <sheetDataSet>
      <sheetData sheetId="0"/>
      <sheetData sheetId="1">
        <row r="1">
          <cell r="A1" t="str">
            <v>PG 58-28</v>
          </cell>
          <cell r="C1" t="str">
            <v>CIR</v>
          </cell>
          <cell r="E1" t="str">
            <v>MTO LS-297</v>
          </cell>
          <cell r="G1" t="str">
            <v>Screenings</v>
          </cell>
          <cell r="I1" t="str">
            <v>Hydrated Lime</v>
          </cell>
        </row>
        <row r="2">
          <cell r="A2" t="str">
            <v>HF-150M</v>
          </cell>
          <cell r="C2" t="str">
            <v>CIREAM</v>
          </cell>
          <cell r="E2" t="str">
            <v>MTO LS-300</v>
          </cell>
          <cell r="G2" t="str">
            <v>HL-3 Stone</v>
          </cell>
          <cell r="I2" t="str">
            <v>Portland Cement</v>
          </cell>
        </row>
        <row r="3">
          <cell r="A3" t="str">
            <v>HF-150MP</v>
          </cell>
          <cell r="C3" t="str">
            <v>FDR (with EAM)</v>
          </cell>
          <cell r="E3" t="str">
            <v>Wirtgen Method</v>
          </cell>
          <cell r="G3" t="str">
            <v>HL-4 Stone</v>
          </cell>
          <cell r="I3" t="str">
            <v>Fly Ash</v>
          </cell>
        </row>
        <row r="4">
          <cell r="A4" t="str">
            <v>CSS-1h</v>
          </cell>
          <cell r="G4" t="str">
            <v>HL-8 Stone</v>
          </cell>
        </row>
        <row r="5">
          <cell r="A5" t="str">
            <v>CSS-1hP</v>
          </cell>
          <cell r="G5" t="str">
            <v>Granular A</v>
          </cell>
        </row>
        <row r="6">
          <cell r="A6" t="str">
            <v>Other (Specify) --&gt;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FC7A-074F-4777-8E8E-6C2233DCC40D}" name="Table2" displayName="Table2" ref="A5:C46" totalsRowShown="0" headerRowDxfId="4" headerRowBorderDxfId="3">
  <autoFilter ref="A5:C46" xr:uid="{DA963E50-6B10-4F10-88D4-5FEEC6E68694}"/>
  <tableColumns count="3">
    <tableColumn id="2" xr3:uid="{0E2CF2CC-3159-441C-9617-5450814C06CE}" name="Type" dataDxfId="2"/>
    <tableColumn id="3" xr3:uid="{7CD6D440-043B-4E12-B715-3E78DF6C36BE}" name="Date" dataDxfId="1"/>
    <tableColumn id="4" xr3:uid="{76DD2683-7961-4018-A07A-50D77BB4E78E}" name="Comments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65A90-035B-461B-8508-5813EF1C731D}">
  <dimension ref="A1:J46"/>
  <sheetViews>
    <sheetView view="pageLayout" zoomScale="115" zoomScaleNormal="115" zoomScalePageLayoutView="115" workbookViewId="0">
      <selection activeCell="C4" sqref="C4:J4"/>
    </sheetView>
  </sheetViews>
  <sheetFormatPr defaultColWidth="8.85546875" defaultRowHeight="15" x14ac:dyDescent="0.25"/>
  <cols>
    <col min="1" max="3" width="8.85546875" style="33"/>
    <col min="4" max="4" width="11.28515625" style="33" customWidth="1"/>
    <col min="5" max="6" width="8.85546875" style="33"/>
    <col min="7" max="7" width="7.140625" style="33" customWidth="1"/>
    <col min="8" max="8" width="8.85546875" style="33"/>
    <col min="9" max="9" width="8.85546875" style="33" customWidth="1"/>
    <col min="10" max="16384" width="8.85546875" style="33"/>
  </cols>
  <sheetData>
    <row r="1" spans="1:10" ht="26.45" customHeight="1" x14ac:dyDescent="0.25">
      <c r="A1" s="183" t="s">
        <v>47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x14ac:dyDescent="0.25">
      <c r="A2" s="34" t="s">
        <v>64</v>
      </c>
      <c r="B2" s="1"/>
      <c r="C2" s="1"/>
      <c r="D2" s="1"/>
      <c r="E2" s="1"/>
      <c r="F2" s="1"/>
      <c r="G2" s="1"/>
      <c r="H2" s="1"/>
      <c r="I2" s="1"/>
      <c r="J2" s="1"/>
    </row>
    <row r="3" spans="1:10" x14ac:dyDescent="0.25">
      <c r="A3" s="42" t="s">
        <v>22</v>
      </c>
      <c r="C3" s="182"/>
      <c r="D3" s="182"/>
      <c r="E3" s="35"/>
      <c r="F3" s="42" t="s">
        <v>65</v>
      </c>
      <c r="H3" s="182"/>
      <c r="I3" s="182"/>
      <c r="J3" s="182"/>
    </row>
    <row r="4" spans="1:10" x14ac:dyDescent="0.25">
      <c r="A4" s="42" t="s">
        <v>10</v>
      </c>
      <c r="C4" s="182" t="s">
        <v>176</v>
      </c>
      <c r="D4" s="182"/>
      <c r="E4" s="182"/>
      <c r="F4" s="182"/>
      <c r="G4" s="182"/>
      <c r="H4" s="182"/>
      <c r="I4" s="182"/>
      <c r="J4" s="182"/>
    </row>
    <row r="5" spans="1:10" x14ac:dyDescent="0.25">
      <c r="A5" s="42" t="s">
        <v>66</v>
      </c>
      <c r="C5" s="185"/>
      <c r="D5" s="184"/>
      <c r="E5" s="184"/>
      <c r="F5" s="184"/>
      <c r="G5" s="184"/>
      <c r="H5" s="184"/>
      <c r="I5" s="184"/>
      <c r="J5" s="184"/>
    </row>
    <row r="6" spans="1:10" x14ac:dyDescent="0.25">
      <c r="A6" s="42" t="s">
        <v>67</v>
      </c>
      <c r="C6" s="184"/>
      <c r="D6" s="184"/>
      <c r="E6" s="36"/>
      <c r="F6" s="43" t="s">
        <v>68</v>
      </c>
      <c r="G6" s="36"/>
      <c r="H6" s="184"/>
      <c r="I6" s="184"/>
      <c r="J6" s="184"/>
    </row>
    <row r="8" spans="1:10" x14ac:dyDescent="0.25">
      <c r="A8" s="37" t="s">
        <v>48</v>
      </c>
    </row>
    <row r="9" spans="1:10" x14ac:dyDescent="0.25">
      <c r="C9" s="92" t="s">
        <v>127</v>
      </c>
      <c r="D9" s="92"/>
      <c r="E9" s="93"/>
    </row>
    <row r="10" spans="1:10" x14ac:dyDescent="0.25">
      <c r="A10" s="42" t="s">
        <v>125</v>
      </c>
      <c r="C10" s="187"/>
      <c r="D10" s="188"/>
      <c r="E10" s="35"/>
      <c r="F10" s="42" t="s">
        <v>49</v>
      </c>
      <c r="H10" s="182"/>
      <c r="I10" s="182"/>
      <c r="J10" s="182"/>
    </row>
    <row r="11" spans="1:10" x14ac:dyDescent="0.25">
      <c r="A11" s="42" t="s">
        <v>120</v>
      </c>
      <c r="C11" s="187"/>
      <c r="D11" s="188"/>
      <c r="E11" s="35"/>
      <c r="F11" s="42" t="s">
        <v>50</v>
      </c>
      <c r="H11" s="189"/>
      <c r="I11" s="189"/>
      <c r="J11" s="189"/>
    </row>
    <row r="12" spans="1:10" x14ac:dyDescent="0.25">
      <c r="A12" s="42" t="s">
        <v>126</v>
      </c>
      <c r="C12" s="187"/>
      <c r="D12" s="188"/>
      <c r="E12" s="35"/>
      <c r="F12" s="42" t="s">
        <v>51</v>
      </c>
      <c r="H12" s="189"/>
      <c r="I12" s="189"/>
      <c r="J12" s="189"/>
    </row>
    <row r="14" spans="1:10" x14ac:dyDescent="0.25">
      <c r="A14" s="37" t="s">
        <v>52</v>
      </c>
    </row>
    <row r="15" spans="1:10" x14ac:dyDescent="0.25">
      <c r="C15" s="91" t="s">
        <v>121</v>
      </c>
      <c r="D15" s="91" t="s">
        <v>96</v>
      </c>
      <c r="E15" s="91" t="s">
        <v>122</v>
      </c>
      <c r="H15" s="91" t="s">
        <v>121</v>
      </c>
      <c r="I15" s="91" t="s">
        <v>96</v>
      </c>
      <c r="J15" s="91" t="s">
        <v>122</v>
      </c>
    </row>
    <row r="16" spans="1:10" x14ac:dyDescent="0.25">
      <c r="A16" s="47" t="s">
        <v>123</v>
      </c>
      <c r="B16" s="25"/>
      <c r="C16" s="90"/>
      <c r="D16" s="90"/>
      <c r="E16" s="90"/>
      <c r="F16" s="47" t="s">
        <v>92</v>
      </c>
      <c r="G16" s="25"/>
      <c r="H16" s="90"/>
      <c r="I16" s="90"/>
      <c r="J16" s="90"/>
    </row>
    <row r="17" spans="1:10" x14ac:dyDescent="0.25">
      <c r="A17" s="47" t="s">
        <v>124</v>
      </c>
      <c r="B17" s="25"/>
      <c r="C17" s="90"/>
      <c r="D17" s="90"/>
      <c r="E17" s="90"/>
      <c r="F17" s="47" t="s">
        <v>93</v>
      </c>
      <c r="G17" s="25"/>
      <c r="H17" s="90"/>
      <c r="I17" s="90"/>
      <c r="J17" s="90"/>
    </row>
    <row r="18" spans="1:10" x14ac:dyDescent="0.25">
      <c r="A18" s="47" t="s">
        <v>53</v>
      </c>
      <c r="B18" s="25"/>
      <c r="C18" s="181"/>
      <c r="D18" s="181"/>
      <c r="E18" s="181"/>
      <c r="F18" s="181"/>
      <c r="G18" s="181"/>
      <c r="H18" s="181"/>
      <c r="I18" s="181"/>
      <c r="J18" s="181"/>
    </row>
    <row r="19" spans="1:10" x14ac:dyDescent="0.25">
      <c r="A19" s="47" t="s">
        <v>54</v>
      </c>
      <c r="B19" s="25"/>
      <c r="C19" s="190"/>
      <c r="D19" s="190"/>
      <c r="E19" s="190"/>
      <c r="F19" s="190"/>
      <c r="G19" s="190"/>
      <c r="H19" s="190"/>
      <c r="I19" s="190"/>
      <c r="J19" s="190"/>
    </row>
    <row r="20" spans="1:10" x14ac:dyDescent="0.25">
      <c r="A20" s="25"/>
      <c r="B20" s="25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37" t="s">
        <v>55</v>
      </c>
    </row>
    <row r="23" spans="1:10" x14ac:dyDescent="0.25">
      <c r="A23" s="42" t="s">
        <v>94</v>
      </c>
      <c r="C23" s="182"/>
      <c r="D23" s="182"/>
      <c r="E23" s="182"/>
      <c r="F23" s="182"/>
      <c r="G23" s="182"/>
      <c r="H23" s="182"/>
      <c r="I23" s="182"/>
      <c r="J23" s="182"/>
    </row>
    <row r="24" spans="1:10" x14ac:dyDescent="0.25">
      <c r="A24" s="42" t="s">
        <v>58</v>
      </c>
      <c r="C24" s="182"/>
      <c r="D24" s="182"/>
      <c r="E24" s="182"/>
      <c r="F24" s="182"/>
      <c r="G24" s="182"/>
      <c r="H24" s="182"/>
      <c r="I24" s="182"/>
      <c r="J24" s="182"/>
    </row>
    <row r="25" spans="1:10" x14ac:dyDescent="0.25">
      <c r="A25" s="42" t="s">
        <v>95</v>
      </c>
      <c r="C25" s="182"/>
      <c r="D25" s="182"/>
      <c r="E25" s="182"/>
      <c r="F25" s="182"/>
      <c r="G25" s="182"/>
      <c r="H25" s="182"/>
      <c r="I25" s="182"/>
      <c r="J25" s="182"/>
    </row>
    <row r="26" spans="1:10" x14ac:dyDescent="0.25">
      <c r="A26" s="42" t="s">
        <v>57</v>
      </c>
      <c r="C26" s="182"/>
      <c r="D26" s="182"/>
      <c r="E26" s="182"/>
      <c r="F26" s="182"/>
      <c r="G26" s="182"/>
      <c r="H26" s="182"/>
      <c r="I26" s="182"/>
      <c r="J26" s="182"/>
    </row>
    <row r="27" spans="1:10" x14ac:dyDescent="0.25">
      <c r="A27" s="42" t="s">
        <v>63</v>
      </c>
      <c r="C27" s="182"/>
      <c r="D27" s="182"/>
      <c r="E27" s="182"/>
      <c r="F27" s="182"/>
      <c r="G27" s="182"/>
      <c r="H27" s="182"/>
      <c r="I27" s="182"/>
      <c r="J27" s="182"/>
    </row>
    <row r="29" spans="1:10" x14ac:dyDescent="0.25">
      <c r="A29" s="37" t="s">
        <v>59</v>
      </c>
    </row>
    <row r="30" spans="1:10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</row>
    <row r="31" spans="1:10" x14ac:dyDescent="0.25">
      <c r="A31" s="44" t="s">
        <v>60</v>
      </c>
      <c r="B31" s="38"/>
      <c r="C31" s="38"/>
      <c r="D31" s="38"/>
      <c r="E31" s="186"/>
      <c r="F31" s="186"/>
      <c r="G31" s="186"/>
      <c r="H31" s="186"/>
      <c r="I31" s="186"/>
      <c r="J31" s="186"/>
    </row>
    <row r="32" spans="1:10" x14ac:dyDescent="0.25">
      <c r="A32" s="44" t="s">
        <v>61</v>
      </c>
      <c r="B32" s="38"/>
      <c r="C32" s="38"/>
      <c r="D32" s="38"/>
      <c r="E32" s="186"/>
      <c r="F32" s="186"/>
      <c r="G32" s="186"/>
      <c r="H32" s="186"/>
      <c r="I32" s="186"/>
      <c r="J32" s="186"/>
    </row>
    <row r="33" spans="1:10" x14ac:dyDescent="0.25">
      <c r="A33" s="44" t="s">
        <v>62</v>
      </c>
      <c r="B33" s="38"/>
      <c r="C33" s="38"/>
      <c r="D33" s="38"/>
      <c r="E33" s="186"/>
      <c r="F33" s="186"/>
      <c r="G33" s="186"/>
      <c r="H33" s="186"/>
      <c r="I33" s="186"/>
      <c r="J33" s="186"/>
    </row>
    <row r="34" spans="1:10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</row>
    <row r="35" spans="1:10" ht="15.75" thickBot="1" x14ac:dyDescent="0.3">
      <c r="A35" s="39" t="s">
        <v>56</v>
      </c>
      <c r="B35" s="38"/>
      <c r="C35" s="38"/>
      <c r="D35" s="38"/>
      <c r="E35" s="38"/>
      <c r="F35" s="38"/>
      <c r="G35" s="38"/>
      <c r="H35" s="38"/>
      <c r="I35" s="38"/>
      <c r="J35" s="38"/>
    </row>
    <row r="36" spans="1:10" x14ac:dyDescent="0.25">
      <c r="A36" s="172"/>
      <c r="B36" s="173"/>
      <c r="C36" s="173"/>
      <c r="D36" s="173"/>
      <c r="E36" s="173"/>
      <c r="F36" s="173"/>
      <c r="G36" s="173"/>
      <c r="H36" s="173"/>
      <c r="I36" s="173"/>
      <c r="J36" s="174"/>
    </row>
    <row r="37" spans="1:10" x14ac:dyDescent="0.25">
      <c r="A37" s="175"/>
      <c r="B37" s="176"/>
      <c r="C37" s="176"/>
      <c r="D37" s="176"/>
      <c r="E37" s="176"/>
      <c r="F37" s="176"/>
      <c r="G37" s="176"/>
      <c r="H37" s="176"/>
      <c r="I37" s="176"/>
      <c r="J37" s="177"/>
    </row>
    <row r="38" spans="1:10" x14ac:dyDescent="0.25">
      <c r="A38" s="175"/>
      <c r="B38" s="176"/>
      <c r="C38" s="176"/>
      <c r="D38" s="176"/>
      <c r="E38" s="176"/>
      <c r="F38" s="176"/>
      <c r="G38" s="176"/>
      <c r="H38" s="176"/>
      <c r="I38" s="176"/>
      <c r="J38" s="177"/>
    </row>
    <row r="39" spans="1:10" x14ac:dyDescent="0.25">
      <c r="A39" s="175"/>
      <c r="B39" s="176"/>
      <c r="C39" s="176"/>
      <c r="D39" s="176"/>
      <c r="E39" s="176"/>
      <c r="F39" s="176"/>
      <c r="G39" s="176"/>
      <c r="H39" s="176"/>
      <c r="I39" s="176"/>
      <c r="J39" s="177"/>
    </row>
    <row r="40" spans="1:10" x14ac:dyDescent="0.25">
      <c r="A40" s="175"/>
      <c r="B40" s="176"/>
      <c r="C40" s="176"/>
      <c r="D40" s="176"/>
      <c r="E40" s="176"/>
      <c r="F40" s="176"/>
      <c r="G40" s="176"/>
      <c r="H40" s="176"/>
      <c r="I40" s="176"/>
      <c r="J40" s="177"/>
    </row>
    <row r="41" spans="1:10" x14ac:dyDescent="0.25">
      <c r="A41" s="175"/>
      <c r="B41" s="176"/>
      <c r="C41" s="176"/>
      <c r="D41" s="176"/>
      <c r="E41" s="176"/>
      <c r="F41" s="176"/>
      <c r="G41" s="176"/>
      <c r="H41" s="176"/>
      <c r="I41" s="176"/>
      <c r="J41" s="177"/>
    </row>
    <row r="42" spans="1:10" x14ac:dyDescent="0.25">
      <c r="A42" s="175"/>
      <c r="B42" s="176"/>
      <c r="C42" s="176"/>
      <c r="D42" s="176"/>
      <c r="E42" s="176"/>
      <c r="F42" s="176"/>
      <c r="G42" s="176"/>
      <c r="H42" s="176"/>
      <c r="I42" s="176"/>
      <c r="J42" s="177"/>
    </row>
    <row r="43" spans="1:10" x14ac:dyDescent="0.25">
      <c r="A43" s="175"/>
      <c r="B43" s="176"/>
      <c r="C43" s="176"/>
      <c r="D43" s="176"/>
      <c r="E43" s="176"/>
      <c r="F43" s="176"/>
      <c r="G43" s="176"/>
      <c r="H43" s="176"/>
      <c r="I43" s="176"/>
      <c r="J43" s="177"/>
    </row>
    <row r="44" spans="1:10" x14ac:dyDescent="0.25">
      <c r="A44" s="175"/>
      <c r="B44" s="176"/>
      <c r="C44" s="176"/>
      <c r="D44" s="176"/>
      <c r="E44" s="176"/>
      <c r="F44" s="176"/>
      <c r="G44" s="176"/>
      <c r="H44" s="176"/>
      <c r="I44" s="176"/>
      <c r="J44" s="177"/>
    </row>
    <row r="45" spans="1:10" x14ac:dyDescent="0.25">
      <c r="A45" s="175"/>
      <c r="B45" s="176"/>
      <c r="C45" s="176"/>
      <c r="D45" s="176"/>
      <c r="E45" s="176"/>
      <c r="F45" s="176"/>
      <c r="G45" s="176"/>
      <c r="H45" s="176"/>
      <c r="I45" s="176"/>
      <c r="J45" s="177"/>
    </row>
    <row r="46" spans="1:10" ht="15.75" thickBot="1" x14ac:dyDescent="0.3">
      <c r="A46" s="178"/>
      <c r="B46" s="179"/>
      <c r="C46" s="179"/>
      <c r="D46" s="179"/>
      <c r="E46" s="179"/>
      <c r="F46" s="179"/>
      <c r="G46" s="179"/>
      <c r="H46" s="179"/>
      <c r="I46" s="179"/>
      <c r="J46" s="180"/>
    </row>
  </sheetData>
  <mergeCells count="24">
    <mergeCell ref="E33:J33"/>
    <mergeCell ref="H11:J11"/>
    <mergeCell ref="H12:J12"/>
    <mergeCell ref="C24:J24"/>
    <mergeCell ref="C25:J25"/>
    <mergeCell ref="C26:J26"/>
    <mergeCell ref="C27:J27"/>
    <mergeCell ref="C19:J19"/>
    <mergeCell ref="A36:J46"/>
    <mergeCell ref="C18:J18"/>
    <mergeCell ref="C23:J23"/>
    <mergeCell ref="A1:J1"/>
    <mergeCell ref="H3:J3"/>
    <mergeCell ref="H10:J10"/>
    <mergeCell ref="C6:D6"/>
    <mergeCell ref="H6:J6"/>
    <mergeCell ref="C4:J4"/>
    <mergeCell ref="C3:D3"/>
    <mergeCell ref="C5:J5"/>
    <mergeCell ref="E31:J31"/>
    <mergeCell ref="E32:J32"/>
    <mergeCell ref="C10:D10"/>
    <mergeCell ref="C11:D11"/>
    <mergeCell ref="C12:D12"/>
  </mergeCells>
  <pageMargins left="0.7" right="0.7" top="0.75" bottom="0.75" header="0.3" footer="0.3"/>
  <pageSetup orientation="portrait" r:id="rId1"/>
  <headerFooter>
    <oddHeader xml:space="preserve">&amp;L&amp;8&amp;F
&amp;A
&amp;Z&amp;F&amp;R&amp;G
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E4468-229B-4776-A14A-C36E6295A82C}">
  <sheetPr codeName="Sheet17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1" sqref="D11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Lanark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>
        <v>116</v>
      </c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57DA-5701-4C65-9579-24820207B79B}">
  <sheetPr codeName="Sheet14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D13" sqref="D13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Lanark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D4:F4"/>
    <mergeCell ref="A5:F5"/>
    <mergeCell ref="A1:C1"/>
    <mergeCell ref="E1:F1"/>
    <mergeCell ref="B2:C2"/>
    <mergeCell ref="D2:D3"/>
    <mergeCell ref="E2:F3"/>
    <mergeCell ref="B3:C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E71C9-4033-4119-9E20-0DAA20425C1F}">
  <sheetPr codeName="Sheet13"/>
  <dimension ref="A1:H36"/>
  <sheetViews>
    <sheetView view="pageBreakPreview" zoomScale="85" zoomScaleNormal="110" zoomScaleSheetLayoutView="85" workbookViewId="0">
      <pane ySplit="6" topLeftCell="A7" activePane="bottomLeft" state="frozen"/>
      <selection pane="bottomLeft" activeCell="B19" sqref="B19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151</v>
      </c>
      <c r="B1" s="195"/>
      <c r="C1" s="196"/>
      <c r="D1" s="8" t="s">
        <v>10</v>
      </c>
      <c r="E1" s="197" t="str">
        <f>'Work Order'!C4</f>
        <v>Lanark</v>
      </c>
      <c r="F1" s="198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01" t="s">
        <v>20</v>
      </c>
      <c r="E2" s="203">
        <f>'Work Order'!C5</f>
        <v>0</v>
      </c>
      <c r="F2" s="204"/>
    </row>
    <row r="3" spans="1:8" ht="15" customHeight="1" thickBot="1" x14ac:dyDescent="0.3">
      <c r="A3" s="8" t="s">
        <v>123</v>
      </c>
      <c r="B3" s="199"/>
      <c r="C3" s="207"/>
      <c r="D3" s="202"/>
      <c r="E3" s="205"/>
      <c r="F3" s="206"/>
    </row>
    <row r="4" spans="1:8" ht="15" customHeight="1" thickBot="1" x14ac:dyDescent="0.3">
      <c r="A4" s="113" t="s">
        <v>154</v>
      </c>
      <c r="B4" s="57">
        <f>E36-F36</f>
        <v>0</v>
      </c>
      <c r="C4" s="116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8">
    <mergeCell ref="A1:C1"/>
    <mergeCell ref="E1:F1"/>
    <mergeCell ref="B2:C2"/>
    <mergeCell ref="D4:F4"/>
    <mergeCell ref="A5:F5"/>
    <mergeCell ref="B3:C3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70034-840F-4607-8926-D0B9A9BACFFE}">
  <sheetPr codeName="Sheet16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Lanark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5:F5"/>
    <mergeCell ref="A1:C1"/>
    <mergeCell ref="E1:F1"/>
    <mergeCell ref="B2:C2"/>
    <mergeCell ref="D2:D3"/>
    <mergeCell ref="E2:F3"/>
    <mergeCell ref="D4:F4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92ED6-3700-417E-8C37-3348592F5DAD}">
  <sheetPr codeName="Sheet15"/>
  <dimension ref="A1:H36"/>
  <sheetViews>
    <sheetView view="pageBreakPreview" zoomScaleNormal="110" zoomScaleSheetLayoutView="100" workbookViewId="0">
      <pane ySplit="6" topLeftCell="A7" activePane="bottomLeft" state="frozen"/>
      <selection pane="bottomLeft" activeCell="B16" sqref="B16"/>
    </sheetView>
  </sheetViews>
  <sheetFormatPr defaultColWidth="8.7109375" defaultRowHeight="14.25" x14ac:dyDescent="0.2"/>
  <cols>
    <col min="1" max="2" width="30.7109375" style="7" customWidth="1"/>
    <col min="3" max="3" width="33.28515625" style="7" bestFit="1" customWidth="1"/>
    <col min="4" max="6" width="30.7109375" style="7" customWidth="1"/>
    <col min="7" max="16384" width="8.7109375" style="7"/>
  </cols>
  <sheetData>
    <row r="1" spans="1:8" ht="15" customHeight="1" thickBot="1" x14ac:dyDescent="0.3">
      <c r="A1" s="194" t="s">
        <v>153</v>
      </c>
      <c r="B1" s="195"/>
      <c r="C1" s="195"/>
      <c r="D1" s="8" t="s">
        <v>10</v>
      </c>
      <c r="E1" s="208" t="str">
        <f>'Work Order'!C4</f>
        <v>Lanark</v>
      </c>
      <c r="F1" s="209"/>
    </row>
    <row r="2" spans="1:8" ht="15" customHeight="1" thickBot="1" x14ac:dyDescent="0.3">
      <c r="A2" s="8" t="s">
        <v>21</v>
      </c>
      <c r="B2" s="199">
        <f>'Work Order'!C3</f>
        <v>0</v>
      </c>
      <c r="C2" s="200"/>
      <c r="D2" s="210" t="s">
        <v>20</v>
      </c>
      <c r="E2" s="212">
        <f>'Work Order'!C5</f>
        <v>0</v>
      </c>
      <c r="F2" s="213"/>
    </row>
    <row r="3" spans="1:8" ht="15" customHeight="1" thickBot="1" x14ac:dyDescent="0.3">
      <c r="A3" s="8" t="s">
        <v>162</v>
      </c>
      <c r="B3" s="134"/>
      <c r="C3" s="124"/>
      <c r="D3" s="211"/>
      <c r="E3" s="214"/>
      <c r="F3" s="215"/>
    </row>
    <row r="4" spans="1:8" ht="15" customHeight="1" thickBot="1" x14ac:dyDescent="0.3">
      <c r="A4" s="113" t="s">
        <v>154</v>
      </c>
      <c r="B4" s="57">
        <f>E36-F36</f>
        <v>0</v>
      </c>
      <c r="C4" s="115" t="s">
        <v>152</v>
      </c>
      <c r="D4" s="191"/>
      <c r="E4" s="192"/>
      <c r="F4" s="193"/>
    </row>
    <row r="5" spans="1:8" ht="15" customHeight="1" thickBot="1" x14ac:dyDescent="0.3">
      <c r="A5" s="194" t="s">
        <v>155</v>
      </c>
      <c r="B5" s="195"/>
      <c r="C5" s="195"/>
      <c r="D5" s="195"/>
      <c r="E5" s="195"/>
      <c r="F5" s="196"/>
    </row>
    <row r="6" spans="1:8" ht="15.75" thickBot="1" x14ac:dyDescent="0.3">
      <c r="A6" s="8" t="s">
        <v>6</v>
      </c>
      <c r="B6" s="8" t="s">
        <v>12</v>
      </c>
      <c r="C6" s="8" t="s">
        <v>15</v>
      </c>
      <c r="D6" s="8" t="s">
        <v>16</v>
      </c>
      <c r="E6" s="8" t="s">
        <v>19</v>
      </c>
      <c r="F6" s="8" t="s">
        <v>17</v>
      </c>
    </row>
    <row r="7" spans="1:8" ht="15" customHeight="1" x14ac:dyDescent="0.2">
      <c r="A7" s="9"/>
      <c r="B7" s="10"/>
      <c r="C7" s="11"/>
      <c r="D7" s="11"/>
      <c r="E7" s="12"/>
      <c r="F7" s="13"/>
    </row>
    <row r="8" spans="1:8" x14ac:dyDescent="0.2">
      <c r="A8" s="15"/>
      <c r="B8" s="14"/>
      <c r="C8" s="16"/>
      <c r="D8" s="16"/>
      <c r="E8" s="16"/>
      <c r="F8" s="17"/>
    </row>
    <row r="9" spans="1:8" x14ac:dyDescent="0.2">
      <c r="A9" s="15"/>
      <c r="B9" s="14"/>
      <c r="C9" s="16"/>
      <c r="D9" s="16"/>
      <c r="E9" s="16"/>
      <c r="F9" s="17"/>
    </row>
    <row r="10" spans="1:8" x14ac:dyDescent="0.2">
      <c r="A10" s="15"/>
      <c r="B10" s="14"/>
      <c r="C10" s="16"/>
      <c r="D10" s="16"/>
      <c r="E10" s="16"/>
      <c r="F10" s="17"/>
    </row>
    <row r="11" spans="1:8" x14ac:dyDescent="0.2">
      <c r="A11" s="15"/>
      <c r="B11" s="14"/>
      <c r="C11" s="16"/>
      <c r="D11" s="16"/>
      <c r="E11" s="16"/>
      <c r="F11" s="16"/>
    </row>
    <row r="12" spans="1:8" x14ac:dyDescent="0.2">
      <c r="A12" s="15"/>
      <c r="B12" s="14"/>
      <c r="C12" s="16"/>
      <c r="D12" s="16"/>
      <c r="E12" s="16"/>
      <c r="F12" s="17"/>
    </row>
    <row r="13" spans="1:8" x14ac:dyDescent="0.2">
      <c r="A13" s="15"/>
      <c r="B13" s="14"/>
      <c r="C13" s="16"/>
      <c r="D13" s="16"/>
      <c r="E13" s="16"/>
      <c r="F13" s="17"/>
      <c r="H13" s="7" t="s">
        <v>18</v>
      </c>
    </row>
    <row r="14" spans="1:8" x14ac:dyDescent="0.2">
      <c r="A14" s="15"/>
      <c r="B14" s="14"/>
      <c r="C14" s="16"/>
      <c r="D14" s="16"/>
      <c r="E14" s="16"/>
      <c r="F14" s="17"/>
    </row>
    <row r="15" spans="1:8" x14ac:dyDescent="0.2">
      <c r="A15" s="15"/>
      <c r="B15" s="14"/>
      <c r="C15" s="16"/>
      <c r="D15" s="16"/>
      <c r="E15" s="16"/>
      <c r="F15" s="17"/>
    </row>
    <row r="16" spans="1:8" x14ac:dyDescent="0.2">
      <c r="A16" s="15"/>
      <c r="B16" s="14"/>
      <c r="C16" s="16"/>
      <c r="D16" s="16"/>
      <c r="E16" s="16"/>
      <c r="F16" s="17"/>
    </row>
    <row r="17" spans="1:8" x14ac:dyDescent="0.2">
      <c r="A17" s="15"/>
      <c r="B17" s="14"/>
      <c r="C17" s="16"/>
      <c r="D17" s="16"/>
      <c r="E17" s="16"/>
      <c r="F17" s="17"/>
    </row>
    <row r="18" spans="1:8" x14ac:dyDescent="0.2">
      <c r="A18" s="15"/>
      <c r="B18" s="14"/>
      <c r="C18" s="16"/>
      <c r="D18" s="16"/>
      <c r="E18" s="16"/>
      <c r="F18" s="17"/>
    </row>
    <row r="19" spans="1:8" x14ac:dyDescent="0.2">
      <c r="A19" s="15"/>
      <c r="B19" s="14"/>
      <c r="C19" s="16"/>
      <c r="D19" s="16"/>
      <c r="E19" s="16"/>
      <c r="F19" s="17"/>
    </row>
    <row r="20" spans="1:8" x14ac:dyDescent="0.2">
      <c r="A20" s="15"/>
      <c r="B20" s="14"/>
      <c r="C20" s="16"/>
      <c r="D20" s="16"/>
      <c r="E20" s="16"/>
      <c r="F20" s="17"/>
    </row>
    <row r="21" spans="1:8" x14ac:dyDescent="0.2">
      <c r="A21" s="15"/>
      <c r="B21" s="14"/>
      <c r="C21" s="16"/>
      <c r="D21" s="16"/>
      <c r="E21" s="16"/>
      <c r="F21" s="17"/>
    </row>
    <row r="22" spans="1:8" x14ac:dyDescent="0.2">
      <c r="A22" s="15"/>
      <c r="B22" s="14"/>
      <c r="C22" s="16"/>
      <c r="D22" s="16"/>
      <c r="E22" s="16"/>
      <c r="F22" s="17"/>
    </row>
    <row r="23" spans="1:8" x14ac:dyDescent="0.2">
      <c r="A23" s="15"/>
      <c r="B23" s="14"/>
      <c r="C23" s="16"/>
      <c r="D23" s="16"/>
      <c r="E23" s="16"/>
      <c r="F23" s="17"/>
    </row>
    <row r="24" spans="1:8" x14ac:dyDescent="0.2">
      <c r="A24" s="15"/>
      <c r="B24" s="14"/>
      <c r="C24" s="16"/>
      <c r="D24" s="16"/>
      <c r="E24" s="16"/>
      <c r="F24" s="17"/>
    </row>
    <row r="25" spans="1:8" x14ac:dyDescent="0.2">
      <c r="A25" s="15"/>
      <c r="B25" s="14"/>
      <c r="C25" s="16"/>
      <c r="D25" s="16"/>
      <c r="E25" s="16"/>
      <c r="F25" s="16"/>
    </row>
    <row r="26" spans="1:8" x14ac:dyDescent="0.2">
      <c r="A26" s="15"/>
      <c r="B26" s="14"/>
      <c r="C26" s="16"/>
      <c r="D26" s="16"/>
      <c r="E26" s="16"/>
      <c r="F26" s="17"/>
    </row>
    <row r="27" spans="1:8" x14ac:dyDescent="0.2">
      <c r="A27" s="15"/>
      <c r="B27" s="14"/>
      <c r="C27" s="16"/>
      <c r="D27" s="16"/>
      <c r="E27" s="16"/>
      <c r="F27" s="17"/>
      <c r="H27" s="7" t="s">
        <v>18</v>
      </c>
    </row>
    <row r="28" spans="1:8" x14ac:dyDescent="0.2">
      <c r="A28" s="15"/>
      <c r="B28" s="14"/>
      <c r="C28" s="16"/>
      <c r="D28" s="16"/>
      <c r="E28" s="16"/>
      <c r="F28" s="17"/>
    </row>
    <row r="29" spans="1:8" x14ac:dyDescent="0.2">
      <c r="A29" s="15"/>
      <c r="B29" s="14"/>
      <c r="C29" s="16"/>
      <c r="D29" s="16"/>
      <c r="E29" s="16"/>
      <c r="F29" s="17"/>
    </row>
    <row r="30" spans="1:8" x14ac:dyDescent="0.2">
      <c r="A30" s="15"/>
      <c r="B30" s="14"/>
      <c r="C30" s="16"/>
      <c r="D30" s="16"/>
      <c r="E30" s="16"/>
      <c r="F30" s="17"/>
    </row>
    <row r="31" spans="1:8" x14ac:dyDescent="0.2">
      <c r="A31" s="15"/>
      <c r="B31" s="14"/>
      <c r="C31" s="16"/>
      <c r="D31" s="16"/>
      <c r="E31" s="16"/>
      <c r="F31" s="17"/>
    </row>
    <row r="32" spans="1:8" x14ac:dyDescent="0.2">
      <c r="A32" s="15"/>
      <c r="B32" s="14"/>
      <c r="C32" s="16"/>
      <c r="D32" s="16"/>
      <c r="E32" s="16"/>
      <c r="F32" s="17"/>
    </row>
    <row r="33" spans="1:6" x14ac:dyDescent="0.2">
      <c r="A33" s="15"/>
      <c r="B33" s="14"/>
      <c r="C33" s="16"/>
      <c r="D33" s="16"/>
      <c r="E33" s="16"/>
      <c r="F33" s="17"/>
    </row>
    <row r="34" spans="1:6" x14ac:dyDescent="0.2">
      <c r="A34" s="15"/>
      <c r="B34" s="14"/>
      <c r="C34" s="16"/>
      <c r="D34" s="16"/>
      <c r="E34" s="16"/>
      <c r="F34" s="17"/>
    </row>
    <row r="35" spans="1:6" ht="15" thickBot="1" x14ac:dyDescent="0.25">
      <c r="A35" s="18"/>
      <c r="B35" s="19"/>
      <c r="C35" s="20"/>
      <c r="D35" s="20"/>
      <c r="E35" s="20"/>
      <c r="F35" s="21"/>
    </row>
    <row r="36" spans="1:6" x14ac:dyDescent="0.2">
      <c r="E36" s="22">
        <f>SUM(E7:E35)</f>
        <v>0</v>
      </c>
      <c r="F36" s="23">
        <f>SUM(F7:F35)</f>
        <v>0</v>
      </c>
    </row>
  </sheetData>
  <mergeCells count="7">
    <mergeCell ref="A1:C1"/>
    <mergeCell ref="E1:F1"/>
    <mergeCell ref="B2:C2"/>
    <mergeCell ref="D4:F4"/>
    <mergeCell ref="A5:F5"/>
    <mergeCell ref="D2:D3"/>
    <mergeCell ref="E2:F3"/>
  </mergeCells>
  <pageMargins left="0.70866141732283472" right="0.70866141732283472" top="0.74803149606299213" bottom="0.74803149606299213" header="0.31496062992125984" footer="0.31496062992125984"/>
  <pageSetup scale="48" orientation="portrait" verticalDpi="300" r:id="rId1"/>
  <headerFooter>
    <oddHeader>&amp;L&amp;F
&amp;A
&amp;Z&amp;F&amp;R&amp;G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N74"/>
  <sheetViews>
    <sheetView view="pageBreakPreview" zoomScale="115" zoomScaleNormal="100" zoomScaleSheetLayoutView="115" workbookViewId="0">
      <pane xSplit="14" ySplit="26" topLeftCell="O27" activePane="bottomRight" state="frozen"/>
      <selection pane="topRight" activeCell="P1" sqref="P1"/>
      <selection pane="bottomLeft" activeCell="A27" sqref="A27"/>
      <selection pane="bottomRight" activeCell="D33" sqref="D33"/>
    </sheetView>
  </sheetViews>
  <sheetFormatPr defaultColWidth="9.28515625" defaultRowHeight="15" x14ac:dyDescent="0.25"/>
  <cols>
    <col min="1" max="1" width="10" style="3" customWidth="1"/>
    <col min="2" max="2" width="7.7109375" style="3" customWidth="1"/>
    <col min="3" max="3" width="10.85546875" style="3" customWidth="1"/>
    <col min="4" max="4" width="12.140625" style="3" customWidth="1"/>
    <col min="5" max="5" width="7.28515625" style="3" customWidth="1"/>
    <col min="6" max="6" width="18.7109375" style="3" customWidth="1"/>
    <col min="7" max="7" width="18" style="3" customWidth="1"/>
    <col min="8" max="8" width="13.85546875" style="3" customWidth="1"/>
    <col min="9" max="10" width="7.28515625" style="3" customWidth="1"/>
    <col min="11" max="11" width="10" style="3" customWidth="1"/>
    <col min="12" max="12" width="13.5703125" style="3" customWidth="1"/>
    <col min="13" max="13" width="11.7109375" style="3" customWidth="1"/>
    <col min="14" max="14" width="12.85546875" style="3" customWidth="1"/>
    <col min="15" max="16384" width="9.28515625" style="3"/>
  </cols>
  <sheetData>
    <row r="1" spans="1:14" ht="14.45" customHeight="1" x14ac:dyDescent="0.25">
      <c r="A1" s="55" t="s">
        <v>0</v>
      </c>
      <c r="B1" s="226" t="str">
        <f>'Work Order'!C4</f>
        <v>Lanark</v>
      </c>
      <c r="C1" s="227"/>
      <c r="D1" s="227"/>
      <c r="E1" s="227"/>
      <c r="F1" s="227"/>
      <c r="G1" s="227"/>
      <c r="H1" s="227"/>
      <c r="I1" s="221" t="s">
        <v>11</v>
      </c>
      <c r="J1" s="221"/>
      <c r="K1" s="219">
        <f>'Work Order'!C3</f>
        <v>0</v>
      </c>
      <c r="L1" s="220"/>
      <c r="M1" s="224" t="s">
        <v>83</v>
      </c>
      <c r="N1" s="224" t="s">
        <v>82</v>
      </c>
    </row>
    <row r="2" spans="1:14" x14ac:dyDescent="0.25">
      <c r="A2" s="55" t="s">
        <v>1</v>
      </c>
      <c r="B2" s="55" t="s">
        <v>25</v>
      </c>
      <c r="C2" s="55" t="s">
        <v>2</v>
      </c>
      <c r="D2" s="55" t="s">
        <v>3</v>
      </c>
      <c r="E2" s="221" t="s">
        <v>26</v>
      </c>
      <c r="F2" s="221"/>
      <c r="G2" s="221" t="s">
        <v>28</v>
      </c>
      <c r="H2" s="221"/>
      <c r="I2" s="221" t="s">
        <v>27</v>
      </c>
      <c r="J2" s="221"/>
      <c r="K2" s="221" t="s">
        <v>14</v>
      </c>
      <c r="L2" s="221"/>
      <c r="M2" s="225"/>
      <c r="N2" s="225"/>
    </row>
    <row r="3" spans="1:14" x14ac:dyDescent="0.25">
      <c r="A3" s="24"/>
      <c r="B3" s="54"/>
      <c r="C3" s="54"/>
      <c r="D3" s="54"/>
      <c r="E3" s="216"/>
      <c r="F3" s="216"/>
      <c r="G3" s="218"/>
      <c r="H3" s="218"/>
      <c r="I3" s="217"/>
      <c r="J3" s="217"/>
      <c r="K3" s="222"/>
      <c r="L3" s="223"/>
      <c r="M3" s="54"/>
      <c r="N3" s="54"/>
    </row>
    <row r="4" spans="1:14" x14ac:dyDescent="0.25">
      <c r="A4" s="24"/>
      <c r="B4" s="54"/>
      <c r="C4" s="54"/>
      <c r="D4" s="54"/>
      <c r="E4" s="216"/>
      <c r="F4" s="216"/>
      <c r="G4" s="216"/>
      <c r="H4" s="216"/>
      <c r="I4" s="217"/>
      <c r="J4" s="217"/>
      <c r="K4" s="216"/>
      <c r="L4" s="218"/>
      <c r="M4" s="54"/>
      <c r="N4" s="54"/>
    </row>
    <row r="5" spans="1:14" x14ac:dyDescent="0.25">
      <c r="A5" s="24"/>
      <c r="B5" s="54"/>
      <c r="C5" s="54"/>
      <c r="D5" s="54"/>
      <c r="E5" s="216"/>
      <c r="F5" s="216"/>
      <c r="G5" s="216"/>
      <c r="H5" s="216"/>
      <c r="I5" s="217"/>
      <c r="J5" s="217"/>
      <c r="K5" s="216"/>
      <c r="L5" s="218"/>
      <c r="M5" s="54"/>
      <c r="N5" s="54"/>
    </row>
    <row r="6" spans="1:14" x14ac:dyDescent="0.25">
      <c r="A6" s="24"/>
      <c r="B6" s="54"/>
      <c r="C6" s="54"/>
      <c r="D6" s="54"/>
      <c r="E6" s="216"/>
      <c r="F6" s="216"/>
      <c r="G6" s="216"/>
      <c r="H6" s="216"/>
      <c r="I6" s="217"/>
      <c r="J6" s="217"/>
      <c r="K6" s="216"/>
      <c r="L6" s="218"/>
      <c r="M6" s="54"/>
      <c r="N6" s="54"/>
    </row>
    <row r="7" spans="1:14" x14ac:dyDescent="0.25">
      <c r="A7" s="24"/>
      <c r="B7" s="54"/>
      <c r="C7" s="54"/>
      <c r="D7" s="54"/>
      <c r="E7" s="216"/>
      <c r="F7" s="216"/>
      <c r="G7" s="216"/>
      <c r="H7" s="216"/>
      <c r="I7" s="217"/>
      <c r="J7" s="217"/>
      <c r="K7" s="216"/>
      <c r="L7" s="218"/>
      <c r="M7" s="54"/>
      <c r="N7" s="54"/>
    </row>
    <row r="8" spans="1:14" x14ac:dyDescent="0.25">
      <c r="A8" s="24"/>
      <c r="B8" s="54"/>
      <c r="C8" s="54"/>
      <c r="D8" s="54"/>
      <c r="E8" s="216"/>
      <c r="F8" s="216"/>
      <c r="G8" s="216"/>
      <c r="H8" s="216"/>
      <c r="I8" s="217"/>
      <c r="J8" s="217"/>
      <c r="K8" s="216"/>
      <c r="L8" s="218"/>
      <c r="M8" s="54"/>
      <c r="N8" s="54"/>
    </row>
    <row r="9" spans="1:14" x14ac:dyDescent="0.25">
      <c r="A9" s="24"/>
      <c r="B9" s="54"/>
      <c r="C9" s="54"/>
      <c r="D9" s="54"/>
      <c r="E9" s="216"/>
      <c r="F9" s="216"/>
      <c r="G9" s="216"/>
      <c r="H9" s="216"/>
      <c r="I9" s="217"/>
      <c r="J9" s="217"/>
      <c r="K9" s="216"/>
      <c r="L9" s="218"/>
      <c r="M9" s="54"/>
      <c r="N9" s="54"/>
    </row>
    <row r="10" spans="1:14" x14ac:dyDescent="0.25">
      <c r="A10" s="24"/>
      <c r="B10" s="54"/>
      <c r="C10" s="54"/>
      <c r="D10" s="54"/>
      <c r="E10" s="216"/>
      <c r="F10" s="216"/>
      <c r="G10" s="216"/>
      <c r="H10" s="216"/>
      <c r="I10" s="217"/>
      <c r="J10" s="217"/>
      <c r="K10" s="216"/>
      <c r="L10" s="218"/>
      <c r="M10" s="54"/>
      <c r="N10" s="54"/>
    </row>
    <row r="11" spans="1:14" x14ac:dyDescent="0.25">
      <c r="A11" s="24"/>
      <c r="B11" s="54"/>
      <c r="C11" s="54"/>
      <c r="D11" s="54"/>
      <c r="E11" s="216"/>
      <c r="F11" s="216"/>
      <c r="G11" s="216"/>
      <c r="H11" s="216"/>
      <c r="I11" s="217"/>
      <c r="J11" s="217"/>
      <c r="K11" s="216"/>
      <c r="L11" s="218"/>
      <c r="M11" s="54"/>
      <c r="N11" s="54"/>
    </row>
    <row r="12" spans="1:14" x14ac:dyDescent="0.25">
      <c r="A12" s="24"/>
      <c r="B12" s="54"/>
      <c r="C12" s="54"/>
      <c r="D12" s="54"/>
      <c r="E12" s="216"/>
      <c r="F12" s="216"/>
      <c r="G12" s="216"/>
      <c r="H12" s="216"/>
      <c r="I12" s="217"/>
      <c r="J12" s="217"/>
      <c r="K12" s="216"/>
      <c r="L12" s="218"/>
      <c r="M12" s="54"/>
      <c r="N12" s="54"/>
    </row>
    <row r="13" spans="1:14" x14ac:dyDescent="0.25">
      <c r="A13" s="24"/>
      <c r="B13" s="54"/>
      <c r="C13" s="54"/>
      <c r="D13" s="54"/>
      <c r="E13" s="216"/>
      <c r="F13" s="216"/>
      <c r="G13" s="216"/>
      <c r="H13" s="216"/>
      <c r="I13" s="217"/>
      <c r="J13" s="217"/>
      <c r="K13" s="216"/>
      <c r="L13" s="218"/>
      <c r="M13" s="54"/>
      <c r="N13" s="54"/>
    </row>
    <row r="14" spans="1:14" x14ac:dyDescent="0.25">
      <c r="A14" s="24"/>
      <c r="B14" s="54"/>
      <c r="C14" s="54"/>
      <c r="D14" s="54"/>
      <c r="E14" s="216"/>
      <c r="F14" s="216"/>
      <c r="G14" s="216"/>
      <c r="H14" s="216"/>
      <c r="I14" s="217"/>
      <c r="J14" s="217"/>
      <c r="K14" s="216"/>
      <c r="L14" s="218"/>
      <c r="M14" s="54"/>
      <c r="N14" s="54"/>
    </row>
    <row r="15" spans="1:14" x14ac:dyDescent="0.25">
      <c r="A15" s="24"/>
      <c r="B15" s="54"/>
      <c r="C15" s="54"/>
      <c r="D15" s="54"/>
      <c r="E15" s="216"/>
      <c r="F15" s="216"/>
      <c r="G15" s="216"/>
      <c r="H15" s="216"/>
      <c r="I15" s="217"/>
      <c r="J15" s="217"/>
      <c r="K15" s="216"/>
      <c r="L15" s="218"/>
      <c r="M15" s="54"/>
      <c r="N15" s="54"/>
    </row>
    <row r="16" spans="1:14" x14ac:dyDescent="0.25">
      <c r="A16" s="24"/>
      <c r="B16" s="54"/>
      <c r="C16" s="54"/>
      <c r="D16" s="54"/>
      <c r="E16" s="216"/>
      <c r="F16" s="216"/>
      <c r="G16" s="216"/>
      <c r="H16" s="216"/>
      <c r="I16" s="217"/>
      <c r="J16" s="217"/>
      <c r="K16" s="216"/>
      <c r="L16" s="218"/>
      <c r="M16" s="54"/>
      <c r="N16" s="54"/>
    </row>
    <row r="17" spans="1:14" x14ac:dyDescent="0.25">
      <c r="A17" s="24"/>
      <c r="B17" s="54"/>
      <c r="C17" s="54"/>
      <c r="D17" s="54"/>
      <c r="E17" s="216"/>
      <c r="F17" s="216"/>
      <c r="G17" s="216"/>
      <c r="H17" s="216"/>
      <c r="I17" s="217"/>
      <c r="J17" s="217"/>
      <c r="K17" s="216"/>
      <c r="L17" s="218"/>
      <c r="M17" s="54"/>
      <c r="N17" s="54"/>
    </row>
    <row r="18" spans="1:14" x14ac:dyDescent="0.25">
      <c r="A18" s="24"/>
      <c r="B18" s="54"/>
      <c r="C18" s="54"/>
      <c r="D18" s="54"/>
      <c r="E18" s="216"/>
      <c r="F18" s="216"/>
      <c r="G18" s="216"/>
      <c r="H18" s="216"/>
      <c r="I18" s="217"/>
      <c r="J18" s="217"/>
      <c r="K18" s="216"/>
      <c r="L18" s="218"/>
      <c r="M18" s="54"/>
      <c r="N18" s="54"/>
    </row>
    <row r="19" spans="1:14" x14ac:dyDescent="0.25">
      <c r="A19" s="24"/>
      <c r="B19" s="54"/>
      <c r="C19" s="54"/>
      <c r="D19" s="54"/>
      <c r="E19" s="216"/>
      <c r="F19" s="216"/>
      <c r="G19" s="216"/>
      <c r="H19" s="216"/>
      <c r="I19" s="217"/>
      <c r="J19" s="217"/>
      <c r="K19" s="216"/>
      <c r="L19" s="218"/>
      <c r="M19" s="54"/>
      <c r="N19" s="54"/>
    </row>
    <row r="20" spans="1:14" x14ac:dyDescent="0.25">
      <c r="A20" s="24"/>
      <c r="B20" s="54"/>
      <c r="C20" s="54"/>
      <c r="D20" s="54"/>
      <c r="E20" s="216"/>
      <c r="F20" s="216"/>
      <c r="G20" s="216"/>
      <c r="H20" s="216"/>
      <c r="I20" s="217"/>
      <c r="J20" s="217"/>
      <c r="K20" s="216"/>
      <c r="L20" s="218"/>
      <c r="M20" s="54"/>
      <c r="N20" s="54"/>
    </row>
    <row r="21" spans="1:14" x14ac:dyDescent="0.25">
      <c r="A21" s="24"/>
      <c r="B21" s="54"/>
      <c r="C21" s="54"/>
      <c r="D21" s="54"/>
      <c r="E21" s="216"/>
      <c r="F21" s="216"/>
      <c r="G21" s="216"/>
      <c r="H21" s="216"/>
      <c r="I21" s="217"/>
      <c r="J21" s="217"/>
      <c r="K21" s="216"/>
      <c r="L21" s="218"/>
      <c r="M21" s="54"/>
      <c r="N21" s="54"/>
    </row>
    <row r="22" spans="1:14" x14ac:dyDescent="0.25">
      <c r="A22" s="24"/>
      <c r="B22" s="54"/>
      <c r="C22" s="54"/>
      <c r="D22" s="54"/>
      <c r="E22" s="216"/>
      <c r="F22" s="216"/>
      <c r="G22" s="216"/>
      <c r="H22" s="216"/>
      <c r="I22" s="217"/>
      <c r="J22" s="217"/>
      <c r="K22" s="216"/>
      <c r="L22" s="218"/>
      <c r="M22" s="54"/>
      <c r="N22" s="54"/>
    </row>
    <row r="23" spans="1:14" x14ac:dyDescent="0.25">
      <c r="A23" s="24"/>
      <c r="B23" s="54"/>
      <c r="C23" s="54"/>
      <c r="D23" s="54"/>
      <c r="E23" s="216"/>
      <c r="F23" s="216"/>
      <c r="G23" s="216"/>
      <c r="H23" s="216"/>
      <c r="I23" s="217"/>
      <c r="J23" s="217"/>
      <c r="K23" s="216"/>
      <c r="L23" s="218"/>
      <c r="M23" s="54"/>
      <c r="N23" s="54"/>
    </row>
    <row r="24" spans="1:14" x14ac:dyDescent="0.25">
      <c r="A24" s="24"/>
      <c r="B24" s="54"/>
      <c r="C24" s="54"/>
      <c r="D24" s="54"/>
      <c r="E24" s="216"/>
      <c r="F24" s="216"/>
      <c r="G24" s="216"/>
      <c r="H24" s="216"/>
      <c r="I24" s="217"/>
      <c r="J24" s="217"/>
      <c r="K24" s="216"/>
      <c r="L24" s="218"/>
      <c r="M24" s="54"/>
      <c r="N24" s="54"/>
    </row>
    <row r="25" spans="1:14" x14ac:dyDescent="0.25">
      <c r="A25" s="24"/>
      <c r="B25" s="54"/>
      <c r="C25" s="54"/>
      <c r="D25" s="54"/>
      <c r="E25" s="216"/>
      <c r="F25" s="216"/>
      <c r="G25" s="216"/>
      <c r="H25" s="216"/>
      <c r="I25" s="217"/>
      <c r="J25" s="217"/>
      <c r="K25" s="216"/>
      <c r="L25" s="218"/>
      <c r="M25" s="54"/>
      <c r="N25" s="54"/>
    </row>
    <row r="26" spans="1:14" x14ac:dyDescent="0.25">
      <c r="A26" s="24"/>
      <c r="B26" s="54"/>
      <c r="C26" s="54"/>
      <c r="D26" s="54"/>
      <c r="E26" s="216"/>
      <c r="F26" s="216"/>
      <c r="G26" s="216"/>
      <c r="H26" s="216"/>
      <c r="I26" s="217"/>
      <c r="J26" s="217"/>
      <c r="K26" s="216"/>
      <c r="L26" s="218"/>
      <c r="M26" s="54"/>
      <c r="N26" s="54"/>
    </row>
    <row r="27" spans="1:14" x14ac:dyDescent="0.25">
      <c r="A27" s="24"/>
      <c r="B27" s="54"/>
      <c r="C27" s="54"/>
      <c r="D27" s="54"/>
      <c r="E27" s="216"/>
      <c r="F27" s="216"/>
      <c r="G27" s="216"/>
      <c r="H27" s="216"/>
      <c r="I27" s="217"/>
      <c r="J27" s="217"/>
      <c r="K27" s="216"/>
      <c r="L27" s="218"/>
      <c r="M27" s="54"/>
      <c r="N27" s="54"/>
    </row>
    <row r="28" spans="1:14" x14ac:dyDescent="0.25">
      <c r="A28" s="24"/>
      <c r="B28" s="54"/>
      <c r="C28" s="54"/>
      <c r="D28" s="54"/>
      <c r="E28" s="216"/>
      <c r="F28" s="216"/>
      <c r="G28" s="216"/>
      <c r="H28" s="216"/>
      <c r="I28" s="217"/>
      <c r="J28" s="217"/>
      <c r="K28" s="216"/>
      <c r="L28" s="218"/>
      <c r="M28" s="54"/>
      <c r="N28" s="54"/>
    </row>
    <row r="29" spans="1:14" x14ac:dyDescent="0.25">
      <c r="A29" s="24"/>
      <c r="B29" s="54"/>
      <c r="C29" s="54"/>
      <c r="D29" s="54"/>
      <c r="E29" s="216"/>
      <c r="F29" s="216"/>
      <c r="G29" s="216"/>
      <c r="H29" s="216"/>
      <c r="I29" s="217"/>
      <c r="J29" s="217"/>
      <c r="K29" s="216"/>
      <c r="L29" s="218"/>
      <c r="M29" s="54"/>
      <c r="N29" s="54"/>
    </row>
    <row r="30" spans="1:14" x14ac:dyDescent="0.25">
      <c r="A30" s="24"/>
      <c r="B30" s="54"/>
      <c r="C30" s="54"/>
      <c r="D30" s="54"/>
      <c r="E30" s="216"/>
      <c r="F30" s="216"/>
      <c r="G30" s="216"/>
      <c r="H30" s="216"/>
      <c r="I30" s="217"/>
      <c r="J30" s="217"/>
      <c r="K30" s="216"/>
      <c r="L30" s="218"/>
      <c r="M30" s="54"/>
      <c r="N30" s="54"/>
    </row>
    <row r="31" spans="1:14" x14ac:dyDescent="0.25">
      <c r="A31" s="24"/>
      <c r="B31" s="54"/>
      <c r="C31" s="54"/>
      <c r="D31" s="54"/>
      <c r="E31" s="216"/>
      <c r="F31" s="216"/>
      <c r="G31" s="216"/>
      <c r="H31" s="216"/>
      <c r="I31" s="217"/>
      <c r="J31" s="217"/>
      <c r="K31" s="216"/>
      <c r="L31" s="218"/>
      <c r="M31" s="54"/>
      <c r="N31" s="54"/>
    </row>
    <row r="32" spans="1:14" x14ac:dyDescent="0.25">
      <c r="A32" s="24"/>
      <c r="B32" s="54"/>
      <c r="C32" s="54"/>
      <c r="D32" s="54"/>
      <c r="E32" s="216"/>
      <c r="F32" s="216"/>
      <c r="G32" s="216"/>
      <c r="H32" s="216"/>
      <c r="I32" s="217"/>
      <c r="J32" s="217"/>
      <c r="K32" s="216"/>
      <c r="L32" s="218"/>
      <c r="M32" s="54"/>
      <c r="N32" s="54"/>
    </row>
    <row r="33" spans="1:14" x14ac:dyDescent="0.25">
      <c r="A33" s="24"/>
      <c r="B33" s="54"/>
      <c r="C33" s="54"/>
      <c r="D33" s="54"/>
      <c r="E33" s="216"/>
      <c r="F33" s="216"/>
      <c r="G33" s="216"/>
      <c r="H33" s="216"/>
      <c r="I33" s="217"/>
      <c r="J33" s="217"/>
      <c r="K33" s="216"/>
      <c r="L33" s="218"/>
      <c r="M33" s="54"/>
      <c r="N33" s="54"/>
    </row>
    <row r="34" spans="1:14" x14ac:dyDescent="0.25">
      <c r="A34" s="24"/>
      <c r="B34" s="54"/>
      <c r="C34" s="54"/>
      <c r="D34" s="54"/>
      <c r="E34" s="216"/>
      <c r="F34" s="216"/>
      <c r="G34" s="216"/>
      <c r="H34" s="216"/>
      <c r="I34" s="217"/>
      <c r="J34" s="217"/>
      <c r="K34" s="216"/>
      <c r="L34" s="218"/>
      <c r="M34" s="54"/>
      <c r="N34" s="54"/>
    </row>
    <row r="35" spans="1:14" x14ac:dyDescent="0.25">
      <c r="A35" s="24"/>
      <c r="B35" s="54"/>
      <c r="C35" s="54"/>
      <c r="D35" s="54"/>
      <c r="E35" s="216"/>
      <c r="F35" s="216"/>
      <c r="G35" s="216"/>
      <c r="H35" s="216"/>
      <c r="I35" s="217"/>
      <c r="J35" s="217"/>
      <c r="K35" s="216"/>
      <c r="L35" s="218"/>
      <c r="M35" s="54"/>
      <c r="N35" s="54"/>
    </row>
    <row r="36" spans="1:14" x14ac:dyDescent="0.25">
      <c r="A36" s="24"/>
      <c r="B36" s="54"/>
      <c r="C36" s="54"/>
      <c r="D36" s="54"/>
      <c r="E36" s="216"/>
      <c r="F36" s="216"/>
      <c r="G36" s="216"/>
      <c r="H36" s="216"/>
      <c r="I36" s="217"/>
      <c r="J36" s="217"/>
      <c r="K36" s="216"/>
      <c r="L36" s="218"/>
      <c r="M36" s="54"/>
      <c r="N36" s="54"/>
    </row>
    <row r="37" spans="1:14" x14ac:dyDescent="0.25">
      <c r="A37" s="24"/>
      <c r="B37" s="54"/>
      <c r="C37" s="54"/>
      <c r="D37" s="54"/>
      <c r="E37" s="216"/>
      <c r="F37" s="216"/>
      <c r="G37" s="216"/>
      <c r="H37" s="216"/>
      <c r="I37" s="217"/>
      <c r="J37" s="217"/>
      <c r="K37" s="216"/>
      <c r="L37" s="218"/>
      <c r="M37" s="54"/>
      <c r="N37" s="54"/>
    </row>
    <row r="38" spans="1:14" x14ac:dyDescent="0.25">
      <c r="A38" s="24"/>
      <c r="B38" s="54"/>
      <c r="C38" s="54"/>
      <c r="D38" s="54"/>
      <c r="E38" s="216"/>
      <c r="F38" s="216"/>
      <c r="G38" s="216"/>
      <c r="H38" s="216"/>
      <c r="I38" s="217"/>
      <c r="J38" s="217"/>
      <c r="K38" s="216"/>
      <c r="L38" s="218"/>
      <c r="M38" s="54"/>
      <c r="N38" s="54"/>
    </row>
    <row r="39" spans="1:14" x14ac:dyDescent="0.25">
      <c r="A39" s="24"/>
      <c r="B39" s="54"/>
      <c r="C39" s="54"/>
      <c r="D39" s="54"/>
      <c r="E39" s="216"/>
      <c r="F39" s="216"/>
      <c r="G39" s="216"/>
      <c r="H39" s="216"/>
      <c r="I39" s="217"/>
      <c r="J39" s="217"/>
      <c r="K39" s="216"/>
      <c r="L39" s="218"/>
      <c r="M39" s="54"/>
      <c r="N39" s="54"/>
    </row>
    <row r="40" spans="1:14" x14ac:dyDescent="0.25">
      <c r="A40" s="24"/>
      <c r="B40" s="54"/>
      <c r="C40" s="54"/>
      <c r="D40" s="54"/>
      <c r="E40" s="216"/>
      <c r="F40" s="216"/>
      <c r="G40" s="216"/>
      <c r="H40" s="216"/>
      <c r="I40" s="217"/>
      <c r="J40" s="217"/>
      <c r="K40" s="216"/>
      <c r="L40" s="218"/>
      <c r="M40" s="54"/>
      <c r="N40" s="54"/>
    </row>
    <row r="41" spans="1:14" x14ac:dyDescent="0.25">
      <c r="A41" s="24"/>
      <c r="B41" s="54"/>
      <c r="C41" s="54"/>
      <c r="D41" s="54"/>
      <c r="E41" s="216"/>
      <c r="F41" s="216"/>
      <c r="G41" s="216"/>
      <c r="H41" s="216"/>
      <c r="I41" s="217"/>
      <c r="J41" s="217"/>
      <c r="K41" s="216"/>
      <c r="L41" s="218"/>
      <c r="M41" s="54"/>
      <c r="N41" s="54"/>
    </row>
    <row r="42" spans="1:14" x14ac:dyDescent="0.25">
      <c r="A42" s="24"/>
      <c r="B42" s="54"/>
      <c r="C42" s="54"/>
      <c r="D42" s="54"/>
      <c r="E42" s="216"/>
      <c r="F42" s="216"/>
      <c r="G42" s="216"/>
      <c r="H42" s="216"/>
      <c r="I42" s="217"/>
      <c r="J42" s="217"/>
      <c r="K42" s="216"/>
      <c r="L42" s="218"/>
      <c r="M42" s="54"/>
      <c r="N42" s="54"/>
    </row>
    <row r="43" spans="1:14" x14ac:dyDescent="0.25">
      <c r="A43" s="24"/>
      <c r="B43" s="54"/>
      <c r="C43" s="54"/>
      <c r="D43" s="54"/>
      <c r="E43" s="216"/>
      <c r="F43" s="216"/>
      <c r="G43" s="216"/>
      <c r="H43" s="216"/>
      <c r="I43" s="217"/>
      <c r="J43" s="217"/>
      <c r="K43" s="216"/>
      <c r="L43" s="218"/>
      <c r="M43" s="54"/>
      <c r="N43" s="54"/>
    </row>
    <row r="44" spans="1:14" x14ac:dyDescent="0.25">
      <c r="A44" s="24"/>
      <c r="B44" s="54"/>
      <c r="C44" s="54"/>
      <c r="D44" s="54"/>
      <c r="E44" s="216"/>
      <c r="F44" s="216"/>
      <c r="G44" s="216"/>
      <c r="H44" s="216"/>
      <c r="I44" s="217"/>
      <c r="J44" s="217"/>
      <c r="K44" s="216"/>
      <c r="L44" s="218"/>
      <c r="M44" s="54"/>
      <c r="N44" s="54"/>
    </row>
    <row r="45" spans="1:14" x14ac:dyDescent="0.25">
      <c r="A45" s="24"/>
      <c r="B45" s="54"/>
      <c r="C45" s="54"/>
      <c r="D45" s="54"/>
      <c r="E45" s="216"/>
      <c r="F45" s="216"/>
      <c r="G45" s="216"/>
      <c r="H45" s="216"/>
      <c r="I45" s="217"/>
      <c r="J45" s="217"/>
      <c r="K45" s="216"/>
      <c r="L45" s="218"/>
      <c r="M45" s="54"/>
      <c r="N45" s="54"/>
    </row>
    <row r="46" spans="1:14" x14ac:dyDescent="0.25">
      <c r="A46" s="24"/>
      <c r="B46" s="54"/>
      <c r="C46" s="54"/>
      <c r="D46" s="54"/>
      <c r="E46" s="216"/>
      <c r="F46" s="216"/>
      <c r="G46" s="216"/>
      <c r="H46" s="216"/>
      <c r="I46" s="217"/>
      <c r="J46" s="217"/>
      <c r="K46" s="216"/>
      <c r="L46" s="218"/>
      <c r="M46" s="54"/>
      <c r="N46" s="54"/>
    </row>
    <row r="47" spans="1:14" x14ac:dyDescent="0.25">
      <c r="A47" s="24"/>
      <c r="B47" s="54"/>
      <c r="C47" s="54"/>
      <c r="D47" s="54"/>
      <c r="E47" s="216"/>
      <c r="F47" s="216"/>
      <c r="G47" s="216"/>
      <c r="H47" s="216"/>
      <c r="I47" s="217"/>
      <c r="J47" s="217"/>
      <c r="K47" s="216"/>
      <c r="L47" s="218"/>
      <c r="M47" s="54"/>
      <c r="N47" s="54"/>
    </row>
    <row r="48" spans="1:14" x14ac:dyDescent="0.25">
      <c r="A48" s="24"/>
      <c r="B48" s="54"/>
      <c r="C48" s="54"/>
      <c r="D48" s="54"/>
      <c r="E48" s="216"/>
      <c r="F48" s="216"/>
      <c r="G48" s="216"/>
      <c r="H48" s="216"/>
      <c r="I48" s="217"/>
      <c r="J48" s="217"/>
      <c r="K48" s="216"/>
      <c r="L48" s="218"/>
      <c r="M48" s="54"/>
      <c r="N48" s="54"/>
    </row>
    <row r="49" spans="1:14" x14ac:dyDescent="0.25">
      <c r="A49" s="24"/>
      <c r="B49" s="54"/>
      <c r="C49" s="54"/>
      <c r="D49" s="54"/>
      <c r="E49" s="216"/>
      <c r="F49" s="216"/>
      <c r="G49" s="216"/>
      <c r="H49" s="216"/>
      <c r="I49" s="217"/>
      <c r="J49" s="217"/>
      <c r="K49" s="216"/>
      <c r="L49" s="218"/>
      <c r="M49" s="54"/>
      <c r="N49" s="54"/>
    </row>
    <row r="50" spans="1:14" x14ac:dyDescent="0.25">
      <c r="A50" s="24"/>
      <c r="B50" s="54"/>
      <c r="C50" s="54"/>
      <c r="D50" s="54"/>
      <c r="E50" s="216"/>
      <c r="F50" s="216"/>
      <c r="G50" s="216"/>
      <c r="H50" s="216"/>
      <c r="I50" s="217"/>
      <c r="J50" s="217"/>
      <c r="K50" s="216"/>
      <c r="L50" s="218"/>
      <c r="M50" s="54"/>
      <c r="N50" s="54"/>
    </row>
    <row r="51" spans="1:14" x14ac:dyDescent="0.25">
      <c r="A51" s="24"/>
      <c r="B51" s="54"/>
      <c r="C51" s="54"/>
      <c r="D51" s="54"/>
      <c r="E51" s="216"/>
      <c r="F51" s="216"/>
      <c r="G51" s="216"/>
      <c r="H51" s="216"/>
      <c r="I51" s="217"/>
      <c r="J51" s="217"/>
      <c r="K51" s="216"/>
      <c r="L51" s="218"/>
      <c r="M51" s="54"/>
      <c r="N51" s="54"/>
    </row>
    <row r="52" spans="1:14" x14ac:dyDescent="0.25">
      <c r="A52" s="24"/>
      <c r="B52" s="54"/>
      <c r="C52" s="54"/>
      <c r="D52" s="54"/>
      <c r="E52" s="216"/>
      <c r="F52" s="216"/>
      <c r="G52" s="216"/>
      <c r="H52" s="216"/>
      <c r="I52" s="217"/>
      <c r="J52" s="217"/>
      <c r="K52" s="216"/>
      <c r="L52" s="218"/>
      <c r="M52" s="54"/>
      <c r="N52" s="54"/>
    </row>
    <row r="53" spans="1:14" x14ac:dyDescent="0.25">
      <c r="A53" s="24"/>
      <c r="B53" s="54"/>
      <c r="C53" s="54"/>
      <c r="D53" s="54"/>
      <c r="E53" s="216"/>
      <c r="F53" s="216"/>
      <c r="G53" s="216"/>
      <c r="H53" s="216"/>
      <c r="I53" s="217"/>
      <c r="J53" s="217"/>
      <c r="K53" s="216"/>
      <c r="L53" s="218"/>
      <c r="M53" s="54"/>
      <c r="N53" s="54"/>
    </row>
    <row r="54" spans="1:14" x14ac:dyDescent="0.25">
      <c r="A54" s="24"/>
      <c r="B54" s="54"/>
      <c r="C54" s="54"/>
      <c r="D54" s="54"/>
      <c r="E54" s="216"/>
      <c r="F54" s="216"/>
      <c r="G54" s="216"/>
      <c r="H54" s="216"/>
      <c r="I54" s="217"/>
      <c r="J54" s="217"/>
      <c r="K54" s="216"/>
      <c r="L54" s="218"/>
      <c r="M54" s="54"/>
      <c r="N54" s="54"/>
    </row>
    <row r="55" spans="1:14" x14ac:dyDescent="0.25">
      <c r="A55" s="24"/>
      <c r="B55" s="54"/>
      <c r="C55" s="54"/>
      <c r="D55" s="54"/>
      <c r="E55" s="216"/>
      <c r="F55" s="216"/>
      <c r="G55" s="216"/>
      <c r="H55" s="216"/>
      <c r="I55" s="217"/>
      <c r="J55" s="217"/>
      <c r="K55" s="216"/>
      <c r="L55" s="218"/>
      <c r="M55" s="54"/>
      <c r="N55" s="54"/>
    </row>
    <row r="56" spans="1:14" x14ac:dyDescent="0.25">
      <c r="A56" s="24"/>
      <c r="B56" s="54"/>
      <c r="C56" s="54"/>
      <c r="D56" s="54"/>
      <c r="E56" s="216"/>
      <c r="F56" s="216"/>
      <c r="G56" s="216"/>
      <c r="H56" s="216"/>
      <c r="I56" s="217"/>
      <c r="J56" s="217"/>
      <c r="K56" s="216"/>
      <c r="L56" s="218"/>
      <c r="M56" s="54"/>
      <c r="N56" s="54"/>
    </row>
    <row r="57" spans="1:14" x14ac:dyDescent="0.25">
      <c r="A57" s="24"/>
      <c r="B57" s="54"/>
      <c r="C57" s="54"/>
      <c r="D57" s="54"/>
      <c r="E57" s="216"/>
      <c r="F57" s="216"/>
      <c r="G57" s="216"/>
      <c r="H57" s="216"/>
      <c r="I57" s="217"/>
      <c r="J57" s="217"/>
      <c r="K57" s="216"/>
      <c r="L57" s="218"/>
      <c r="M57" s="54"/>
      <c r="N57" s="54"/>
    </row>
    <row r="58" spans="1:14" x14ac:dyDescent="0.25">
      <c r="A58" s="24"/>
      <c r="B58" s="54"/>
      <c r="C58" s="54"/>
      <c r="D58" s="54"/>
      <c r="E58" s="216"/>
      <c r="F58" s="216"/>
      <c r="G58" s="216"/>
      <c r="H58" s="216"/>
      <c r="I58" s="217"/>
      <c r="J58" s="217"/>
      <c r="K58" s="216"/>
      <c r="L58" s="218"/>
      <c r="M58" s="54"/>
      <c r="N58" s="54"/>
    </row>
    <row r="59" spans="1:14" x14ac:dyDescent="0.25">
      <c r="A59" s="24"/>
      <c r="B59" s="54"/>
      <c r="C59" s="54"/>
      <c r="D59" s="54"/>
      <c r="E59" s="216"/>
      <c r="F59" s="216"/>
      <c r="G59" s="216"/>
      <c r="H59" s="216"/>
      <c r="I59" s="217"/>
      <c r="J59" s="217"/>
      <c r="K59" s="216"/>
      <c r="L59" s="218"/>
      <c r="M59" s="54"/>
      <c r="N59" s="54"/>
    </row>
    <row r="60" spans="1:14" x14ac:dyDescent="0.25">
      <c r="A60" s="24"/>
      <c r="B60" s="54"/>
      <c r="C60" s="54"/>
      <c r="D60" s="54"/>
      <c r="E60" s="216"/>
      <c r="F60" s="216"/>
      <c r="G60" s="216"/>
      <c r="H60" s="216"/>
      <c r="I60" s="217"/>
      <c r="J60" s="217"/>
      <c r="K60" s="216"/>
      <c r="L60" s="218"/>
      <c r="M60" s="54"/>
      <c r="N60" s="54"/>
    </row>
    <row r="61" spans="1:14" x14ac:dyDescent="0.25">
      <c r="A61" s="24"/>
      <c r="B61" s="54"/>
      <c r="C61" s="54"/>
      <c r="D61" s="54"/>
      <c r="E61" s="216"/>
      <c r="F61" s="216"/>
      <c r="G61" s="216"/>
      <c r="H61" s="216"/>
      <c r="I61" s="217"/>
      <c r="J61" s="217"/>
      <c r="K61" s="216"/>
      <c r="L61" s="218"/>
      <c r="M61" s="54"/>
      <c r="N61" s="54"/>
    </row>
    <row r="62" spans="1:14" x14ac:dyDescent="0.25">
      <c r="A62" s="24"/>
      <c r="B62" s="54"/>
      <c r="C62" s="54"/>
      <c r="D62" s="54"/>
      <c r="E62" s="216"/>
      <c r="F62" s="216"/>
      <c r="G62" s="216"/>
      <c r="H62" s="216"/>
      <c r="I62" s="217"/>
      <c r="J62" s="217"/>
      <c r="K62" s="216"/>
      <c r="L62" s="218"/>
      <c r="M62" s="54"/>
      <c r="N62" s="54"/>
    </row>
    <row r="63" spans="1:14" x14ac:dyDescent="0.25">
      <c r="A63" s="24"/>
      <c r="B63" s="54"/>
      <c r="C63" s="54"/>
      <c r="D63" s="54"/>
      <c r="E63" s="216"/>
      <c r="F63" s="216"/>
      <c r="G63" s="216"/>
      <c r="H63" s="216"/>
      <c r="I63" s="217"/>
      <c r="J63" s="217"/>
      <c r="K63" s="216"/>
      <c r="L63" s="218"/>
      <c r="M63" s="54"/>
      <c r="N63" s="54"/>
    </row>
    <row r="64" spans="1:14" x14ac:dyDescent="0.25">
      <c r="A64" s="24"/>
      <c r="B64" s="54"/>
      <c r="C64" s="54"/>
      <c r="D64" s="54"/>
      <c r="E64" s="216"/>
      <c r="F64" s="216"/>
      <c r="G64" s="216"/>
      <c r="H64" s="216"/>
      <c r="I64" s="217"/>
      <c r="J64" s="217"/>
      <c r="K64" s="216"/>
      <c r="L64" s="218"/>
      <c r="M64" s="54"/>
      <c r="N64" s="54"/>
    </row>
    <row r="65" spans="1:14" x14ac:dyDescent="0.25">
      <c r="A65" s="24"/>
      <c r="B65" s="54"/>
      <c r="C65" s="54"/>
      <c r="D65" s="54"/>
      <c r="E65" s="216"/>
      <c r="F65" s="216"/>
      <c r="G65" s="216"/>
      <c r="H65" s="216"/>
      <c r="I65" s="217"/>
      <c r="J65" s="217"/>
      <c r="K65" s="216"/>
      <c r="L65" s="218"/>
      <c r="M65" s="54"/>
      <c r="N65" s="54"/>
    </row>
    <row r="66" spans="1:14" x14ac:dyDescent="0.25">
      <c r="A66" s="24"/>
      <c r="B66" s="54"/>
      <c r="C66" s="54"/>
      <c r="D66" s="54"/>
      <c r="E66" s="216"/>
      <c r="F66" s="216"/>
      <c r="G66" s="216"/>
      <c r="H66" s="216"/>
      <c r="I66" s="217"/>
      <c r="J66" s="217"/>
      <c r="K66" s="216"/>
      <c r="L66" s="218"/>
      <c r="M66" s="54"/>
      <c r="N66" s="54"/>
    </row>
    <row r="67" spans="1:14" x14ac:dyDescent="0.25">
      <c r="A67" s="24"/>
      <c r="B67" s="54"/>
      <c r="C67" s="54"/>
      <c r="D67" s="54"/>
      <c r="E67" s="216"/>
      <c r="F67" s="216"/>
      <c r="G67" s="216"/>
      <c r="H67" s="216"/>
      <c r="I67" s="217"/>
      <c r="J67" s="217"/>
      <c r="K67" s="216"/>
      <c r="L67" s="218"/>
      <c r="M67" s="54"/>
      <c r="N67" s="54"/>
    </row>
    <row r="68" spans="1:14" x14ac:dyDescent="0.25">
      <c r="A68" s="24"/>
      <c r="B68" s="54"/>
      <c r="C68" s="54"/>
      <c r="D68" s="54"/>
      <c r="E68" s="216"/>
      <c r="F68" s="216"/>
      <c r="G68" s="216"/>
      <c r="H68" s="216"/>
      <c r="I68" s="217"/>
      <c r="J68" s="217"/>
      <c r="K68" s="216"/>
      <c r="L68" s="218"/>
      <c r="M68" s="54"/>
      <c r="N68" s="54"/>
    </row>
    <row r="69" spans="1:14" x14ac:dyDescent="0.25">
      <c r="A69" s="24"/>
      <c r="B69" s="54"/>
      <c r="C69" s="54"/>
      <c r="D69" s="54"/>
      <c r="E69" s="216"/>
      <c r="F69" s="216"/>
      <c r="G69" s="216"/>
      <c r="H69" s="216"/>
      <c r="I69" s="217"/>
      <c r="J69" s="217"/>
      <c r="K69" s="216"/>
      <c r="L69" s="218"/>
      <c r="M69" s="54"/>
      <c r="N69" s="54"/>
    </row>
    <row r="70" spans="1:14" x14ac:dyDescent="0.25">
      <c r="A70" s="24"/>
      <c r="B70" s="54"/>
      <c r="C70" s="54"/>
      <c r="D70" s="54"/>
      <c r="E70" s="216"/>
      <c r="F70" s="216"/>
      <c r="G70" s="216"/>
      <c r="H70" s="216"/>
      <c r="I70" s="217"/>
      <c r="J70" s="217"/>
      <c r="K70" s="216"/>
      <c r="L70" s="218"/>
      <c r="M70" s="54"/>
      <c r="N70" s="54"/>
    </row>
    <row r="71" spans="1:14" x14ac:dyDescent="0.25">
      <c r="A71" s="24"/>
      <c r="B71" s="54"/>
      <c r="C71" s="54"/>
      <c r="D71" s="54"/>
      <c r="E71" s="216"/>
      <c r="F71" s="216"/>
      <c r="G71" s="216"/>
      <c r="H71" s="216"/>
      <c r="I71" s="217"/>
      <c r="J71" s="217"/>
      <c r="K71" s="216"/>
      <c r="L71" s="218"/>
      <c r="M71" s="54"/>
      <c r="N71" s="54"/>
    </row>
    <row r="72" spans="1:14" x14ac:dyDescent="0.25">
      <c r="A72" s="24"/>
      <c r="B72" s="54"/>
      <c r="C72" s="54"/>
      <c r="D72" s="54"/>
      <c r="E72" s="216"/>
      <c r="F72" s="216"/>
      <c r="G72" s="216"/>
      <c r="H72" s="216"/>
      <c r="I72" s="217"/>
      <c r="J72" s="217"/>
      <c r="K72" s="216"/>
      <c r="L72" s="218"/>
      <c r="M72" s="54"/>
      <c r="N72" s="54"/>
    </row>
    <row r="73" spans="1:14" x14ac:dyDescent="0.25">
      <c r="A73" s="24"/>
      <c r="B73" s="54"/>
      <c r="C73" s="54"/>
      <c r="D73" s="54"/>
      <c r="E73" s="216"/>
      <c r="F73" s="216"/>
      <c r="G73" s="216"/>
      <c r="H73" s="216"/>
      <c r="I73" s="217"/>
      <c r="J73" s="217"/>
      <c r="K73" s="216"/>
      <c r="L73" s="218"/>
      <c r="M73" s="54"/>
      <c r="N73" s="54"/>
    </row>
    <row r="74" spans="1:14" x14ac:dyDescent="0.25">
      <c r="A74" s="24"/>
      <c r="B74" s="54"/>
      <c r="C74" s="54"/>
      <c r="D74" s="54"/>
      <c r="E74" s="216"/>
      <c r="F74" s="216"/>
      <c r="G74" s="216"/>
      <c r="H74" s="216"/>
      <c r="I74" s="217"/>
      <c r="J74" s="217"/>
      <c r="K74" s="216"/>
      <c r="L74" s="218"/>
      <c r="M74" s="54"/>
      <c r="N74" s="54"/>
    </row>
  </sheetData>
  <mergeCells count="297">
    <mergeCell ref="K29:L29"/>
    <mergeCell ref="K30:L30"/>
    <mergeCell ref="I27:J27"/>
    <mergeCell ref="K27:L27"/>
    <mergeCell ref="I28:J28"/>
    <mergeCell ref="K28:L28"/>
    <mergeCell ref="K25:L25"/>
    <mergeCell ref="I43:J43"/>
    <mergeCell ref="K43:L43"/>
    <mergeCell ref="K26:L26"/>
    <mergeCell ref="I41:J41"/>
    <mergeCell ref="K41:L41"/>
    <mergeCell ref="I42:J42"/>
    <mergeCell ref="K42:L42"/>
    <mergeCell ref="K33:L33"/>
    <mergeCell ref="I34:J34"/>
    <mergeCell ref="K34:L34"/>
    <mergeCell ref="I31:J31"/>
    <mergeCell ref="K31:L31"/>
    <mergeCell ref="I32:J32"/>
    <mergeCell ref="K32:L32"/>
    <mergeCell ref="I44:J44"/>
    <mergeCell ref="K44:L44"/>
    <mergeCell ref="I35:J35"/>
    <mergeCell ref="K35:L35"/>
    <mergeCell ref="I36:J36"/>
    <mergeCell ref="K36:L36"/>
    <mergeCell ref="I37:J37"/>
    <mergeCell ref="K37:L37"/>
    <mergeCell ref="I38:J38"/>
    <mergeCell ref="K38:L38"/>
    <mergeCell ref="I39:J39"/>
    <mergeCell ref="K39:L39"/>
    <mergeCell ref="I40:J40"/>
    <mergeCell ref="K40:L40"/>
    <mergeCell ref="E31:F31"/>
    <mergeCell ref="G31:H31"/>
    <mergeCell ref="E32:F32"/>
    <mergeCell ref="G32:H32"/>
    <mergeCell ref="E33:F33"/>
    <mergeCell ref="G33:H33"/>
    <mergeCell ref="E34:F34"/>
    <mergeCell ref="G34:H34"/>
    <mergeCell ref="I29:J29"/>
    <mergeCell ref="I33:J33"/>
    <mergeCell ref="I30:J30"/>
    <mergeCell ref="E27:F27"/>
    <mergeCell ref="G27:H27"/>
    <mergeCell ref="E28:F28"/>
    <mergeCell ref="G28:H28"/>
    <mergeCell ref="E29:F29"/>
    <mergeCell ref="G29:H29"/>
    <mergeCell ref="E30:F30"/>
    <mergeCell ref="G30:H30"/>
    <mergeCell ref="I25:J25"/>
    <mergeCell ref="I26:J26"/>
    <mergeCell ref="E26:F26"/>
    <mergeCell ref="G26:H26"/>
    <mergeCell ref="I23:J23"/>
    <mergeCell ref="K23:L23"/>
    <mergeCell ref="I24:J24"/>
    <mergeCell ref="K24:L24"/>
    <mergeCell ref="E23:F23"/>
    <mergeCell ref="G23:H23"/>
    <mergeCell ref="E24:F24"/>
    <mergeCell ref="G24:H24"/>
    <mergeCell ref="E25:F25"/>
    <mergeCell ref="G25:H25"/>
    <mergeCell ref="I21:J21"/>
    <mergeCell ref="K21:L21"/>
    <mergeCell ref="I22:J22"/>
    <mergeCell ref="K22:L22"/>
    <mergeCell ref="I19:J19"/>
    <mergeCell ref="K19:L19"/>
    <mergeCell ref="I20:J20"/>
    <mergeCell ref="K20:L20"/>
    <mergeCell ref="E19:F19"/>
    <mergeCell ref="G19:H19"/>
    <mergeCell ref="E20:F20"/>
    <mergeCell ref="G20:H20"/>
    <mergeCell ref="E21:F21"/>
    <mergeCell ref="G21:H21"/>
    <mergeCell ref="E22:F22"/>
    <mergeCell ref="G22:H22"/>
    <mergeCell ref="I17:J17"/>
    <mergeCell ref="K17:L17"/>
    <mergeCell ref="I18:J18"/>
    <mergeCell ref="K18:L18"/>
    <mergeCell ref="I15:J15"/>
    <mergeCell ref="K15:L15"/>
    <mergeCell ref="I16:J16"/>
    <mergeCell ref="K16:L16"/>
    <mergeCell ref="E15:F15"/>
    <mergeCell ref="G15:H15"/>
    <mergeCell ref="E16:F16"/>
    <mergeCell ref="G16:H16"/>
    <mergeCell ref="E17:F17"/>
    <mergeCell ref="G17:H17"/>
    <mergeCell ref="E18:F18"/>
    <mergeCell ref="G18:H18"/>
    <mergeCell ref="I13:J13"/>
    <mergeCell ref="K13:L13"/>
    <mergeCell ref="I14:J14"/>
    <mergeCell ref="K14:L14"/>
    <mergeCell ref="I11:J11"/>
    <mergeCell ref="K11:L11"/>
    <mergeCell ref="I12:J12"/>
    <mergeCell ref="K12:L12"/>
    <mergeCell ref="E11:F11"/>
    <mergeCell ref="G11:H11"/>
    <mergeCell ref="E12:F12"/>
    <mergeCell ref="G12:H12"/>
    <mergeCell ref="E13:F13"/>
    <mergeCell ref="G13:H13"/>
    <mergeCell ref="E14:F14"/>
    <mergeCell ref="G14:H14"/>
    <mergeCell ref="M1:M2"/>
    <mergeCell ref="N1:N2"/>
    <mergeCell ref="E6:F6"/>
    <mergeCell ref="G6:H6"/>
    <mergeCell ref="I9:J9"/>
    <mergeCell ref="K9:L9"/>
    <mergeCell ref="I10:J10"/>
    <mergeCell ref="K10:L10"/>
    <mergeCell ref="I7:J7"/>
    <mergeCell ref="K7:L7"/>
    <mergeCell ref="I8:J8"/>
    <mergeCell ref="K8:L8"/>
    <mergeCell ref="E7:F7"/>
    <mergeCell ref="G7:H7"/>
    <mergeCell ref="E8:F8"/>
    <mergeCell ref="G8:H8"/>
    <mergeCell ref="E9:F9"/>
    <mergeCell ref="G9:H9"/>
    <mergeCell ref="E10:F10"/>
    <mergeCell ref="G10:H10"/>
    <mergeCell ref="I6:J6"/>
    <mergeCell ref="K6:L6"/>
    <mergeCell ref="B1:H1"/>
    <mergeCell ref="I1:J1"/>
    <mergeCell ref="K1:L1"/>
    <mergeCell ref="I2:J2"/>
    <mergeCell ref="K2:L2"/>
    <mergeCell ref="I5:J5"/>
    <mergeCell ref="K5:L5"/>
    <mergeCell ref="G2:H2"/>
    <mergeCell ref="E2:F2"/>
    <mergeCell ref="G3:H3"/>
    <mergeCell ref="E3:F3"/>
    <mergeCell ref="E4:F4"/>
    <mergeCell ref="G4:H4"/>
    <mergeCell ref="E5:F5"/>
    <mergeCell ref="G5:H5"/>
    <mergeCell ref="I3:J3"/>
    <mergeCell ref="K3:L3"/>
    <mergeCell ref="I4:J4"/>
    <mergeCell ref="K4:L4"/>
    <mergeCell ref="I46:J46"/>
    <mergeCell ref="K46:L46"/>
    <mergeCell ref="I47:J47"/>
    <mergeCell ref="K47:L47"/>
    <mergeCell ref="E45:F45"/>
    <mergeCell ref="G45:H45"/>
    <mergeCell ref="E46:F46"/>
    <mergeCell ref="G46:H46"/>
    <mergeCell ref="E47:F47"/>
    <mergeCell ref="G47:H47"/>
    <mergeCell ref="I45:J45"/>
    <mergeCell ref="K45:L45"/>
    <mergeCell ref="I48:J48"/>
    <mergeCell ref="K48:L48"/>
    <mergeCell ref="I49:J49"/>
    <mergeCell ref="K49:L49"/>
    <mergeCell ref="I50:J50"/>
    <mergeCell ref="K50:L50"/>
    <mergeCell ref="E48:F48"/>
    <mergeCell ref="G48:H48"/>
    <mergeCell ref="E49:F49"/>
    <mergeCell ref="G49:H49"/>
    <mergeCell ref="E50:F50"/>
    <mergeCell ref="G50:H50"/>
    <mergeCell ref="I51:J51"/>
    <mergeCell ref="K51:L51"/>
    <mergeCell ref="I53:J53"/>
    <mergeCell ref="K53:L53"/>
    <mergeCell ref="I54:J54"/>
    <mergeCell ref="K54:L54"/>
    <mergeCell ref="E51:F51"/>
    <mergeCell ref="G51:H51"/>
    <mergeCell ref="E52:F52"/>
    <mergeCell ref="G52:H52"/>
    <mergeCell ref="E53:F53"/>
    <mergeCell ref="G53:H53"/>
    <mergeCell ref="E54:F54"/>
    <mergeCell ref="G54:H54"/>
    <mergeCell ref="I52:J52"/>
    <mergeCell ref="K52:L52"/>
    <mergeCell ref="I55:J55"/>
    <mergeCell ref="K55:L55"/>
    <mergeCell ref="I56:J56"/>
    <mergeCell ref="K56:L56"/>
    <mergeCell ref="I57:J57"/>
    <mergeCell ref="K57:L57"/>
    <mergeCell ref="E55:F55"/>
    <mergeCell ref="G55:H55"/>
    <mergeCell ref="E56:F56"/>
    <mergeCell ref="G56:H56"/>
    <mergeCell ref="E57:F57"/>
    <mergeCell ref="G57:H57"/>
    <mergeCell ref="I58:J58"/>
    <mergeCell ref="K58:L58"/>
    <mergeCell ref="I59:J59"/>
    <mergeCell ref="K59:L59"/>
    <mergeCell ref="I60:J60"/>
    <mergeCell ref="K60:L60"/>
    <mergeCell ref="E58:F58"/>
    <mergeCell ref="G58:H58"/>
    <mergeCell ref="E59:F59"/>
    <mergeCell ref="G59:H59"/>
    <mergeCell ref="E60:F60"/>
    <mergeCell ref="G60:H60"/>
    <mergeCell ref="I61:J61"/>
    <mergeCell ref="K61:L61"/>
    <mergeCell ref="I62:J62"/>
    <mergeCell ref="K62:L62"/>
    <mergeCell ref="I63:J63"/>
    <mergeCell ref="K63:L63"/>
    <mergeCell ref="E61:F61"/>
    <mergeCell ref="G61:H61"/>
    <mergeCell ref="E62:F62"/>
    <mergeCell ref="G62:H62"/>
    <mergeCell ref="E63:F63"/>
    <mergeCell ref="G63:H63"/>
    <mergeCell ref="I69:J69"/>
    <mergeCell ref="K69:L69"/>
    <mergeCell ref="E67:F67"/>
    <mergeCell ref="G67:H67"/>
    <mergeCell ref="E68:F68"/>
    <mergeCell ref="G68:H68"/>
    <mergeCell ref="E64:F64"/>
    <mergeCell ref="G64:H64"/>
    <mergeCell ref="E65:F65"/>
    <mergeCell ref="G65:H65"/>
    <mergeCell ref="E66:F66"/>
    <mergeCell ref="G66:H66"/>
    <mergeCell ref="I74:J74"/>
    <mergeCell ref="K74:L74"/>
    <mergeCell ref="E73:F73"/>
    <mergeCell ref="G73:H73"/>
    <mergeCell ref="E74:F74"/>
    <mergeCell ref="G74:H74"/>
    <mergeCell ref="I72:J72"/>
    <mergeCell ref="K72:L72"/>
    <mergeCell ref="E72:F72"/>
    <mergeCell ref="G72:H72"/>
    <mergeCell ref="E44:F44"/>
    <mergeCell ref="G44:H44"/>
    <mergeCell ref="I73:J73"/>
    <mergeCell ref="K73:L73"/>
    <mergeCell ref="E69:F69"/>
    <mergeCell ref="G69:H69"/>
    <mergeCell ref="I64:J64"/>
    <mergeCell ref="K64:L64"/>
    <mergeCell ref="I65:J65"/>
    <mergeCell ref="K65:L65"/>
    <mergeCell ref="I66:J66"/>
    <mergeCell ref="K66:L66"/>
    <mergeCell ref="I70:J70"/>
    <mergeCell ref="K70:L70"/>
    <mergeCell ref="I71:J71"/>
    <mergeCell ref="K71:L71"/>
    <mergeCell ref="E70:F70"/>
    <mergeCell ref="G70:H70"/>
    <mergeCell ref="E71:F71"/>
    <mergeCell ref="G71:H71"/>
    <mergeCell ref="I67:J67"/>
    <mergeCell ref="K67:L67"/>
    <mergeCell ref="I68:J68"/>
    <mergeCell ref="K68:L68"/>
    <mergeCell ref="E35:F35"/>
    <mergeCell ref="G35:H35"/>
    <mergeCell ref="E36:F36"/>
    <mergeCell ref="G36:H36"/>
    <mergeCell ref="E37:F37"/>
    <mergeCell ref="G37:H37"/>
    <mergeCell ref="E38:F38"/>
    <mergeCell ref="E43:F43"/>
    <mergeCell ref="G43:H43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</mergeCells>
  <pageMargins left="0.70866141732283472" right="0.70866141732283472" top="0.74803149606299213" bottom="0.74803149606299213" header="0.31496062992125984" footer="0.31496062992125984"/>
  <pageSetup scale="25" orientation="landscape" horizontalDpi="300" verticalDpi="300" r:id="rId1"/>
  <headerFooter>
    <oddHeader>&amp;L&amp;F
&amp;A
&amp;Z&amp;F&amp;R&amp;G</oddHead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39B41-9C9A-450A-84BB-64BF97F971FE}">
  <sheetPr codeName="Sheet11"/>
  <dimension ref="A1:Q39"/>
  <sheetViews>
    <sheetView tabSelected="1" view="pageBreakPreview" zoomScaleNormal="94" zoomScaleSheetLayoutView="100" zoomScalePageLayoutView="55" workbookViewId="0">
      <selection activeCell="J28" sqref="J28"/>
    </sheetView>
  </sheetViews>
  <sheetFormatPr defaultRowHeight="14.25" x14ac:dyDescent="0.2"/>
  <cols>
    <col min="1" max="1" width="24.42578125" style="5" bestFit="1" customWidth="1"/>
    <col min="2" max="2" width="3" style="5" customWidth="1"/>
    <col min="3" max="3" width="8.85546875" style="5" customWidth="1"/>
    <col min="4" max="4" width="18" style="5" customWidth="1"/>
    <col min="5" max="5" width="14.28515625" style="5" customWidth="1"/>
    <col min="6" max="6" width="18.28515625" style="5" bestFit="1" customWidth="1"/>
    <col min="7" max="7" width="18.28515625" style="5" customWidth="1"/>
    <col min="8" max="8" width="14" style="5" bestFit="1" customWidth="1"/>
    <col min="9" max="9" width="14.5703125" style="5" customWidth="1"/>
    <col min="10" max="10" width="13.28515625" style="5" customWidth="1"/>
    <col min="11" max="11" width="17.28515625" style="5" customWidth="1"/>
    <col min="12" max="12" width="14.7109375" style="5" customWidth="1"/>
    <col min="13" max="13" width="15.85546875" style="5" bestFit="1" customWidth="1"/>
    <col min="14" max="14" width="20.140625" style="5" customWidth="1"/>
    <col min="15" max="16" width="13.140625" style="5" customWidth="1"/>
    <col min="17" max="17" width="12.28515625" style="5" customWidth="1"/>
    <col min="18" max="254" width="8.85546875" style="5"/>
    <col min="255" max="255" width="19.5703125" style="5" customWidth="1"/>
    <col min="256" max="256" width="15.7109375" style="5" customWidth="1"/>
    <col min="257" max="257" width="11.7109375" style="5" customWidth="1"/>
    <col min="258" max="258" width="14.28515625" style="5" customWidth="1"/>
    <col min="259" max="259" width="12.28515625" style="5" customWidth="1"/>
    <col min="260" max="260" width="12.7109375" style="5" customWidth="1"/>
    <col min="261" max="261" width="13.42578125" style="5" customWidth="1"/>
    <col min="262" max="262" width="14" style="5" customWidth="1"/>
    <col min="263" max="263" width="14.7109375" style="5" customWidth="1"/>
    <col min="264" max="264" width="15.7109375" style="5" customWidth="1"/>
    <col min="265" max="510" width="8.85546875" style="5"/>
    <col min="511" max="511" width="19.5703125" style="5" customWidth="1"/>
    <col min="512" max="512" width="15.7109375" style="5" customWidth="1"/>
    <col min="513" max="513" width="11.7109375" style="5" customWidth="1"/>
    <col min="514" max="514" width="14.28515625" style="5" customWidth="1"/>
    <col min="515" max="515" width="12.28515625" style="5" customWidth="1"/>
    <col min="516" max="516" width="12.7109375" style="5" customWidth="1"/>
    <col min="517" max="517" width="13.42578125" style="5" customWidth="1"/>
    <col min="518" max="518" width="14" style="5" customWidth="1"/>
    <col min="519" max="519" width="14.7109375" style="5" customWidth="1"/>
    <col min="520" max="520" width="15.7109375" style="5" customWidth="1"/>
    <col min="521" max="766" width="8.85546875" style="5"/>
    <col min="767" max="767" width="19.5703125" style="5" customWidth="1"/>
    <col min="768" max="768" width="15.7109375" style="5" customWidth="1"/>
    <col min="769" max="769" width="11.7109375" style="5" customWidth="1"/>
    <col min="770" max="770" width="14.28515625" style="5" customWidth="1"/>
    <col min="771" max="771" width="12.28515625" style="5" customWidth="1"/>
    <col min="772" max="772" width="12.7109375" style="5" customWidth="1"/>
    <col min="773" max="773" width="13.42578125" style="5" customWidth="1"/>
    <col min="774" max="774" width="14" style="5" customWidth="1"/>
    <col min="775" max="775" width="14.7109375" style="5" customWidth="1"/>
    <col min="776" max="776" width="15.7109375" style="5" customWidth="1"/>
    <col min="777" max="1022" width="8.85546875" style="5"/>
    <col min="1023" max="1023" width="19.5703125" style="5" customWidth="1"/>
    <col min="1024" max="1024" width="15.7109375" style="5" customWidth="1"/>
    <col min="1025" max="1025" width="11.7109375" style="5" customWidth="1"/>
    <col min="1026" max="1026" width="14.28515625" style="5" customWidth="1"/>
    <col min="1027" max="1027" width="12.28515625" style="5" customWidth="1"/>
    <col min="1028" max="1028" width="12.7109375" style="5" customWidth="1"/>
    <col min="1029" max="1029" width="13.42578125" style="5" customWidth="1"/>
    <col min="1030" max="1030" width="14" style="5" customWidth="1"/>
    <col min="1031" max="1031" width="14.7109375" style="5" customWidth="1"/>
    <col min="1032" max="1032" width="15.7109375" style="5" customWidth="1"/>
    <col min="1033" max="1278" width="8.85546875" style="5"/>
    <col min="1279" max="1279" width="19.5703125" style="5" customWidth="1"/>
    <col min="1280" max="1280" width="15.7109375" style="5" customWidth="1"/>
    <col min="1281" max="1281" width="11.7109375" style="5" customWidth="1"/>
    <col min="1282" max="1282" width="14.28515625" style="5" customWidth="1"/>
    <col min="1283" max="1283" width="12.28515625" style="5" customWidth="1"/>
    <col min="1284" max="1284" width="12.7109375" style="5" customWidth="1"/>
    <col min="1285" max="1285" width="13.42578125" style="5" customWidth="1"/>
    <col min="1286" max="1286" width="14" style="5" customWidth="1"/>
    <col min="1287" max="1287" width="14.7109375" style="5" customWidth="1"/>
    <col min="1288" max="1288" width="15.7109375" style="5" customWidth="1"/>
    <col min="1289" max="1534" width="8.85546875" style="5"/>
    <col min="1535" max="1535" width="19.5703125" style="5" customWidth="1"/>
    <col min="1536" max="1536" width="15.7109375" style="5" customWidth="1"/>
    <col min="1537" max="1537" width="11.7109375" style="5" customWidth="1"/>
    <col min="1538" max="1538" width="14.28515625" style="5" customWidth="1"/>
    <col min="1539" max="1539" width="12.28515625" style="5" customWidth="1"/>
    <col min="1540" max="1540" width="12.7109375" style="5" customWidth="1"/>
    <col min="1541" max="1541" width="13.42578125" style="5" customWidth="1"/>
    <col min="1542" max="1542" width="14" style="5" customWidth="1"/>
    <col min="1543" max="1543" width="14.7109375" style="5" customWidth="1"/>
    <col min="1544" max="1544" width="15.7109375" style="5" customWidth="1"/>
    <col min="1545" max="1790" width="8.85546875" style="5"/>
    <col min="1791" max="1791" width="19.5703125" style="5" customWidth="1"/>
    <col min="1792" max="1792" width="15.7109375" style="5" customWidth="1"/>
    <col min="1793" max="1793" width="11.7109375" style="5" customWidth="1"/>
    <col min="1794" max="1794" width="14.28515625" style="5" customWidth="1"/>
    <col min="1795" max="1795" width="12.28515625" style="5" customWidth="1"/>
    <col min="1796" max="1796" width="12.7109375" style="5" customWidth="1"/>
    <col min="1797" max="1797" width="13.42578125" style="5" customWidth="1"/>
    <col min="1798" max="1798" width="14" style="5" customWidth="1"/>
    <col min="1799" max="1799" width="14.7109375" style="5" customWidth="1"/>
    <col min="1800" max="1800" width="15.7109375" style="5" customWidth="1"/>
    <col min="1801" max="2046" width="8.85546875" style="5"/>
    <col min="2047" max="2047" width="19.5703125" style="5" customWidth="1"/>
    <col min="2048" max="2048" width="15.7109375" style="5" customWidth="1"/>
    <col min="2049" max="2049" width="11.7109375" style="5" customWidth="1"/>
    <col min="2050" max="2050" width="14.28515625" style="5" customWidth="1"/>
    <col min="2051" max="2051" width="12.28515625" style="5" customWidth="1"/>
    <col min="2052" max="2052" width="12.7109375" style="5" customWidth="1"/>
    <col min="2053" max="2053" width="13.42578125" style="5" customWidth="1"/>
    <col min="2054" max="2054" width="14" style="5" customWidth="1"/>
    <col min="2055" max="2055" width="14.7109375" style="5" customWidth="1"/>
    <col min="2056" max="2056" width="15.7109375" style="5" customWidth="1"/>
    <col min="2057" max="2302" width="8.85546875" style="5"/>
    <col min="2303" max="2303" width="19.5703125" style="5" customWidth="1"/>
    <col min="2304" max="2304" width="15.7109375" style="5" customWidth="1"/>
    <col min="2305" max="2305" width="11.7109375" style="5" customWidth="1"/>
    <col min="2306" max="2306" width="14.28515625" style="5" customWidth="1"/>
    <col min="2307" max="2307" width="12.28515625" style="5" customWidth="1"/>
    <col min="2308" max="2308" width="12.7109375" style="5" customWidth="1"/>
    <col min="2309" max="2309" width="13.42578125" style="5" customWidth="1"/>
    <col min="2310" max="2310" width="14" style="5" customWidth="1"/>
    <col min="2311" max="2311" width="14.7109375" style="5" customWidth="1"/>
    <col min="2312" max="2312" width="15.7109375" style="5" customWidth="1"/>
    <col min="2313" max="2558" width="8.85546875" style="5"/>
    <col min="2559" max="2559" width="19.5703125" style="5" customWidth="1"/>
    <col min="2560" max="2560" width="15.7109375" style="5" customWidth="1"/>
    <col min="2561" max="2561" width="11.7109375" style="5" customWidth="1"/>
    <col min="2562" max="2562" width="14.28515625" style="5" customWidth="1"/>
    <col min="2563" max="2563" width="12.28515625" style="5" customWidth="1"/>
    <col min="2564" max="2564" width="12.7109375" style="5" customWidth="1"/>
    <col min="2565" max="2565" width="13.42578125" style="5" customWidth="1"/>
    <col min="2566" max="2566" width="14" style="5" customWidth="1"/>
    <col min="2567" max="2567" width="14.7109375" style="5" customWidth="1"/>
    <col min="2568" max="2568" width="15.7109375" style="5" customWidth="1"/>
    <col min="2569" max="2814" width="8.85546875" style="5"/>
    <col min="2815" max="2815" width="19.5703125" style="5" customWidth="1"/>
    <col min="2816" max="2816" width="15.7109375" style="5" customWidth="1"/>
    <col min="2817" max="2817" width="11.7109375" style="5" customWidth="1"/>
    <col min="2818" max="2818" width="14.28515625" style="5" customWidth="1"/>
    <col min="2819" max="2819" width="12.28515625" style="5" customWidth="1"/>
    <col min="2820" max="2820" width="12.7109375" style="5" customWidth="1"/>
    <col min="2821" max="2821" width="13.42578125" style="5" customWidth="1"/>
    <col min="2822" max="2822" width="14" style="5" customWidth="1"/>
    <col min="2823" max="2823" width="14.7109375" style="5" customWidth="1"/>
    <col min="2824" max="2824" width="15.7109375" style="5" customWidth="1"/>
    <col min="2825" max="3070" width="8.85546875" style="5"/>
    <col min="3071" max="3071" width="19.5703125" style="5" customWidth="1"/>
    <col min="3072" max="3072" width="15.7109375" style="5" customWidth="1"/>
    <col min="3073" max="3073" width="11.7109375" style="5" customWidth="1"/>
    <col min="3074" max="3074" width="14.28515625" style="5" customWidth="1"/>
    <col min="3075" max="3075" width="12.28515625" style="5" customWidth="1"/>
    <col min="3076" max="3076" width="12.7109375" style="5" customWidth="1"/>
    <col min="3077" max="3077" width="13.42578125" style="5" customWidth="1"/>
    <col min="3078" max="3078" width="14" style="5" customWidth="1"/>
    <col min="3079" max="3079" width="14.7109375" style="5" customWidth="1"/>
    <col min="3080" max="3080" width="15.7109375" style="5" customWidth="1"/>
    <col min="3081" max="3326" width="8.85546875" style="5"/>
    <col min="3327" max="3327" width="19.5703125" style="5" customWidth="1"/>
    <col min="3328" max="3328" width="15.7109375" style="5" customWidth="1"/>
    <col min="3329" max="3329" width="11.7109375" style="5" customWidth="1"/>
    <col min="3330" max="3330" width="14.28515625" style="5" customWidth="1"/>
    <col min="3331" max="3331" width="12.28515625" style="5" customWidth="1"/>
    <col min="3332" max="3332" width="12.7109375" style="5" customWidth="1"/>
    <col min="3333" max="3333" width="13.42578125" style="5" customWidth="1"/>
    <col min="3334" max="3334" width="14" style="5" customWidth="1"/>
    <col min="3335" max="3335" width="14.7109375" style="5" customWidth="1"/>
    <col min="3336" max="3336" width="15.7109375" style="5" customWidth="1"/>
    <col min="3337" max="3582" width="8.85546875" style="5"/>
    <col min="3583" max="3583" width="19.5703125" style="5" customWidth="1"/>
    <col min="3584" max="3584" width="15.7109375" style="5" customWidth="1"/>
    <col min="3585" max="3585" width="11.7109375" style="5" customWidth="1"/>
    <col min="3586" max="3586" width="14.28515625" style="5" customWidth="1"/>
    <col min="3587" max="3587" width="12.28515625" style="5" customWidth="1"/>
    <col min="3588" max="3588" width="12.7109375" style="5" customWidth="1"/>
    <col min="3589" max="3589" width="13.42578125" style="5" customWidth="1"/>
    <col min="3590" max="3590" width="14" style="5" customWidth="1"/>
    <col min="3591" max="3591" width="14.7109375" style="5" customWidth="1"/>
    <col min="3592" max="3592" width="15.7109375" style="5" customWidth="1"/>
    <col min="3593" max="3838" width="8.85546875" style="5"/>
    <col min="3839" max="3839" width="19.5703125" style="5" customWidth="1"/>
    <col min="3840" max="3840" width="15.7109375" style="5" customWidth="1"/>
    <col min="3841" max="3841" width="11.7109375" style="5" customWidth="1"/>
    <col min="3842" max="3842" width="14.28515625" style="5" customWidth="1"/>
    <col min="3843" max="3843" width="12.28515625" style="5" customWidth="1"/>
    <col min="3844" max="3844" width="12.7109375" style="5" customWidth="1"/>
    <col min="3845" max="3845" width="13.42578125" style="5" customWidth="1"/>
    <col min="3846" max="3846" width="14" style="5" customWidth="1"/>
    <col min="3847" max="3847" width="14.7109375" style="5" customWidth="1"/>
    <col min="3848" max="3848" width="15.7109375" style="5" customWidth="1"/>
    <col min="3849" max="4094" width="8.85546875" style="5"/>
    <col min="4095" max="4095" width="19.5703125" style="5" customWidth="1"/>
    <col min="4096" max="4096" width="15.7109375" style="5" customWidth="1"/>
    <col min="4097" max="4097" width="11.7109375" style="5" customWidth="1"/>
    <col min="4098" max="4098" width="14.28515625" style="5" customWidth="1"/>
    <col min="4099" max="4099" width="12.28515625" style="5" customWidth="1"/>
    <col min="4100" max="4100" width="12.7109375" style="5" customWidth="1"/>
    <col min="4101" max="4101" width="13.42578125" style="5" customWidth="1"/>
    <col min="4102" max="4102" width="14" style="5" customWidth="1"/>
    <col min="4103" max="4103" width="14.7109375" style="5" customWidth="1"/>
    <col min="4104" max="4104" width="15.7109375" style="5" customWidth="1"/>
    <col min="4105" max="4350" width="8.85546875" style="5"/>
    <col min="4351" max="4351" width="19.5703125" style="5" customWidth="1"/>
    <col min="4352" max="4352" width="15.7109375" style="5" customWidth="1"/>
    <col min="4353" max="4353" width="11.7109375" style="5" customWidth="1"/>
    <col min="4354" max="4354" width="14.28515625" style="5" customWidth="1"/>
    <col min="4355" max="4355" width="12.28515625" style="5" customWidth="1"/>
    <col min="4356" max="4356" width="12.7109375" style="5" customWidth="1"/>
    <col min="4357" max="4357" width="13.42578125" style="5" customWidth="1"/>
    <col min="4358" max="4358" width="14" style="5" customWidth="1"/>
    <col min="4359" max="4359" width="14.7109375" style="5" customWidth="1"/>
    <col min="4360" max="4360" width="15.7109375" style="5" customWidth="1"/>
    <col min="4361" max="4606" width="8.85546875" style="5"/>
    <col min="4607" max="4607" width="19.5703125" style="5" customWidth="1"/>
    <col min="4608" max="4608" width="15.7109375" style="5" customWidth="1"/>
    <col min="4609" max="4609" width="11.7109375" style="5" customWidth="1"/>
    <col min="4610" max="4610" width="14.28515625" style="5" customWidth="1"/>
    <col min="4611" max="4611" width="12.28515625" style="5" customWidth="1"/>
    <col min="4612" max="4612" width="12.7109375" style="5" customWidth="1"/>
    <col min="4613" max="4613" width="13.42578125" style="5" customWidth="1"/>
    <col min="4614" max="4614" width="14" style="5" customWidth="1"/>
    <col min="4615" max="4615" width="14.7109375" style="5" customWidth="1"/>
    <col min="4616" max="4616" width="15.7109375" style="5" customWidth="1"/>
    <col min="4617" max="4862" width="8.85546875" style="5"/>
    <col min="4863" max="4863" width="19.5703125" style="5" customWidth="1"/>
    <col min="4864" max="4864" width="15.7109375" style="5" customWidth="1"/>
    <col min="4865" max="4865" width="11.7109375" style="5" customWidth="1"/>
    <col min="4866" max="4866" width="14.28515625" style="5" customWidth="1"/>
    <col min="4867" max="4867" width="12.28515625" style="5" customWidth="1"/>
    <col min="4868" max="4868" width="12.7109375" style="5" customWidth="1"/>
    <col min="4869" max="4869" width="13.42578125" style="5" customWidth="1"/>
    <col min="4870" max="4870" width="14" style="5" customWidth="1"/>
    <col min="4871" max="4871" width="14.7109375" style="5" customWidth="1"/>
    <col min="4872" max="4872" width="15.7109375" style="5" customWidth="1"/>
    <col min="4873" max="5118" width="8.85546875" style="5"/>
    <col min="5119" max="5119" width="19.5703125" style="5" customWidth="1"/>
    <col min="5120" max="5120" width="15.7109375" style="5" customWidth="1"/>
    <col min="5121" max="5121" width="11.7109375" style="5" customWidth="1"/>
    <col min="5122" max="5122" width="14.28515625" style="5" customWidth="1"/>
    <col min="5123" max="5123" width="12.28515625" style="5" customWidth="1"/>
    <col min="5124" max="5124" width="12.7109375" style="5" customWidth="1"/>
    <col min="5125" max="5125" width="13.42578125" style="5" customWidth="1"/>
    <col min="5126" max="5126" width="14" style="5" customWidth="1"/>
    <col min="5127" max="5127" width="14.7109375" style="5" customWidth="1"/>
    <col min="5128" max="5128" width="15.7109375" style="5" customWidth="1"/>
    <col min="5129" max="5374" width="8.85546875" style="5"/>
    <col min="5375" max="5375" width="19.5703125" style="5" customWidth="1"/>
    <col min="5376" max="5376" width="15.7109375" style="5" customWidth="1"/>
    <col min="5377" max="5377" width="11.7109375" style="5" customWidth="1"/>
    <col min="5378" max="5378" width="14.28515625" style="5" customWidth="1"/>
    <col min="5379" max="5379" width="12.28515625" style="5" customWidth="1"/>
    <col min="5380" max="5380" width="12.7109375" style="5" customWidth="1"/>
    <col min="5381" max="5381" width="13.42578125" style="5" customWidth="1"/>
    <col min="5382" max="5382" width="14" style="5" customWidth="1"/>
    <col min="5383" max="5383" width="14.7109375" style="5" customWidth="1"/>
    <col min="5384" max="5384" width="15.7109375" style="5" customWidth="1"/>
    <col min="5385" max="5630" width="8.85546875" style="5"/>
    <col min="5631" max="5631" width="19.5703125" style="5" customWidth="1"/>
    <col min="5632" max="5632" width="15.7109375" style="5" customWidth="1"/>
    <col min="5633" max="5633" width="11.7109375" style="5" customWidth="1"/>
    <col min="5634" max="5634" width="14.28515625" style="5" customWidth="1"/>
    <col min="5635" max="5635" width="12.28515625" style="5" customWidth="1"/>
    <col min="5636" max="5636" width="12.7109375" style="5" customWidth="1"/>
    <col min="5637" max="5637" width="13.42578125" style="5" customWidth="1"/>
    <col min="5638" max="5638" width="14" style="5" customWidth="1"/>
    <col min="5639" max="5639" width="14.7109375" style="5" customWidth="1"/>
    <col min="5640" max="5640" width="15.7109375" style="5" customWidth="1"/>
    <col min="5641" max="5886" width="8.85546875" style="5"/>
    <col min="5887" max="5887" width="19.5703125" style="5" customWidth="1"/>
    <col min="5888" max="5888" width="15.7109375" style="5" customWidth="1"/>
    <col min="5889" max="5889" width="11.7109375" style="5" customWidth="1"/>
    <col min="5890" max="5890" width="14.28515625" style="5" customWidth="1"/>
    <col min="5891" max="5891" width="12.28515625" style="5" customWidth="1"/>
    <col min="5892" max="5892" width="12.7109375" style="5" customWidth="1"/>
    <col min="5893" max="5893" width="13.42578125" style="5" customWidth="1"/>
    <col min="5894" max="5894" width="14" style="5" customWidth="1"/>
    <col min="5895" max="5895" width="14.7109375" style="5" customWidth="1"/>
    <col min="5896" max="5896" width="15.7109375" style="5" customWidth="1"/>
    <col min="5897" max="6142" width="8.85546875" style="5"/>
    <col min="6143" max="6143" width="19.5703125" style="5" customWidth="1"/>
    <col min="6144" max="6144" width="15.7109375" style="5" customWidth="1"/>
    <col min="6145" max="6145" width="11.7109375" style="5" customWidth="1"/>
    <col min="6146" max="6146" width="14.28515625" style="5" customWidth="1"/>
    <col min="6147" max="6147" width="12.28515625" style="5" customWidth="1"/>
    <col min="6148" max="6148" width="12.7109375" style="5" customWidth="1"/>
    <col min="6149" max="6149" width="13.42578125" style="5" customWidth="1"/>
    <col min="6150" max="6150" width="14" style="5" customWidth="1"/>
    <col min="6151" max="6151" width="14.7109375" style="5" customWidth="1"/>
    <col min="6152" max="6152" width="15.7109375" style="5" customWidth="1"/>
    <col min="6153" max="6398" width="8.85546875" style="5"/>
    <col min="6399" max="6399" width="19.5703125" style="5" customWidth="1"/>
    <col min="6400" max="6400" width="15.7109375" style="5" customWidth="1"/>
    <col min="6401" max="6401" width="11.7109375" style="5" customWidth="1"/>
    <col min="6402" max="6402" width="14.28515625" style="5" customWidth="1"/>
    <col min="6403" max="6403" width="12.28515625" style="5" customWidth="1"/>
    <col min="6404" max="6404" width="12.7109375" style="5" customWidth="1"/>
    <col min="6405" max="6405" width="13.42578125" style="5" customWidth="1"/>
    <col min="6406" max="6406" width="14" style="5" customWidth="1"/>
    <col min="6407" max="6407" width="14.7109375" style="5" customWidth="1"/>
    <col min="6408" max="6408" width="15.7109375" style="5" customWidth="1"/>
    <col min="6409" max="6654" width="8.85546875" style="5"/>
    <col min="6655" max="6655" width="19.5703125" style="5" customWidth="1"/>
    <col min="6656" max="6656" width="15.7109375" style="5" customWidth="1"/>
    <col min="6657" max="6657" width="11.7109375" style="5" customWidth="1"/>
    <col min="6658" max="6658" width="14.28515625" style="5" customWidth="1"/>
    <col min="6659" max="6659" width="12.28515625" style="5" customWidth="1"/>
    <col min="6660" max="6660" width="12.7109375" style="5" customWidth="1"/>
    <col min="6661" max="6661" width="13.42578125" style="5" customWidth="1"/>
    <col min="6662" max="6662" width="14" style="5" customWidth="1"/>
    <col min="6663" max="6663" width="14.7109375" style="5" customWidth="1"/>
    <col min="6664" max="6664" width="15.7109375" style="5" customWidth="1"/>
    <col min="6665" max="6910" width="8.85546875" style="5"/>
    <col min="6911" max="6911" width="19.5703125" style="5" customWidth="1"/>
    <col min="6912" max="6912" width="15.7109375" style="5" customWidth="1"/>
    <col min="6913" max="6913" width="11.7109375" style="5" customWidth="1"/>
    <col min="6914" max="6914" width="14.28515625" style="5" customWidth="1"/>
    <col min="6915" max="6915" width="12.28515625" style="5" customWidth="1"/>
    <col min="6916" max="6916" width="12.7109375" style="5" customWidth="1"/>
    <col min="6917" max="6917" width="13.42578125" style="5" customWidth="1"/>
    <col min="6918" max="6918" width="14" style="5" customWidth="1"/>
    <col min="6919" max="6919" width="14.7109375" style="5" customWidth="1"/>
    <col min="6920" max="6920" width="15.7109375" style="5" customWidth="1"/>
    <col min="6921" max="7166" width="8.85546875" style="5"/>
    <col min="7167" max="7167" width="19.5703125" style="5" customWidth="1"/>
    <col min="7168" max="7168" width="15.7109375" style="5" customWidth="1"/>
    <col min="7169" max="7169" width="11.7109375" style="5" customWidth="1"/>
    <col min="7170" max="7170" width="14.28515625" style="5" customWidth="1"/>
    <col min="7171" max="7171" width="12.28515625" style="5" customWidth="1"/>
    <col min="7172" max="7172" width="12.7109375" style="5" customWidth="1"/>
    <col min="7173" max="7173" width="13.42578125" style="5" customWidth="1"/>
    <col min="7174" max="7174" width="14" style="5" customWidth="1"/>
    <col min="7175" max="7175" width="14.7109375" style="5" customWidth="1"/>
    <col min="7176" max="7176" width="15.7109375" style="5" customWidth="1"/>
    <col min="7177" max="7422" width="8.85546875" style="5"/>
    <col min="7423" max="7423" width="19.5703125" style="5" customWidth="1"/>
    <col min="7424" max="7424" width="15.7109375" style="5" customWidth="1"/>
    <col min="7425" max="7425" width="11.7109375" style="5" customWidth="1"/>
    <col min="7426" max="7426" width="14.28515625" style="5" customWidth="1"/>
    <col min="7427" max="7427" width="12.28515625" style="5" customWidth="1"/>
    <col min="7428" max="7428" width="12.7109375" style="5" customWidth="1"/>
    <col min="7429" max="7429" width="13.42578125" style="5" customWidth="1"/>
    <col min="7430" max="7430" width="14" style="5" customWidth="1"/>
    <col min="7431" max="7431" width="14.7109375" style="5" customWidth="1"/>
    <col min="7432" max="7432" width="15.7109375" style="5" customWidth="1"/>
    <col min="7433" max="7678" width="8.85546875" style="5"/>
    <col min="7679" max="7679" width="19.5703125" style="5" customWidth="1"/>
    <col min="7680" max="7680" width="15.7109375" style="5" customWidth="1"/>
    <col min="7681" max="7681" width="11.7109375" style="5" customWidth="1"/>
    <col min="7682" max="7682" width="14.28515625" style="5" customWidth="1"/>
    <col min="7683" max="7683" width="12.28515625" style="5" customWidth="1"/>
    <col min="7684" max="7684" width="12.7109375" style="5" customWidth="1"/>
    <col min="7685" max="7685" width="13.42578125" style="5" customWidth="1"/>
    <col min="7686" max="7686" width="14" style="5" customWidth="1"/>
    <col min="7687" max="7687" width="14.7109375" style="5" customWidth="1"/>
    <col min="7688" max="7688" width="15.7109375" style="5" customWidth="1"/>
    <col min="7689" max="7934" width="8.85546875" style="5"/>
    <col min="7935" max="7935" width="19.5703125" style="5" customWidth="1"/>
    <col min="7936" max="7936" width="15.7109375" style="5" customWidth="1"/>
    <col min="7937" max="7937" width="11.7109375" style="5" customWidth="1"/>
    <col min="7938" max="7938" width="14.28515625" style="5" customWidth="1"/>
    <col min="7939" max="7939" width="12.28515625" style="5" customWidth="1"/>
    <col min="7940" max="7940" width="12.7109375" style="5" customWidth="1"/>
    <col min="7941" max="7941" width="13.42578125" style="5" customWidth="1"/>
    <col min="7942" max="7942" width="14" style="5" customWidth="1"/>
    <col min="7943" max="7943" width="14.7109375" style="5" customWidth="1"/>
    <col min="7944" max="7944" width="15.7109375" style="5" customWidth="1"/>
    <col min="7945" max="8190" width="8.85546875" style="5"/>
    <col min="8191" max="8191" width="19.5703125" style="5" customWidth="1"/>
    <col min="8192" max="8192" width="15.7109375" style="5" customWidth="1"/>
    <col min="8193" max="8193" width="11.7109375" style="5" customWidth="1"/>
    <col min="8194" max="8194" width="14.28515625" style="5" customWidth="1"/>
    <col min="8195" max="8195" width="12.28515625" style="5" customWidth="1"/>
    <col min="8196" max="8196" width="12.7109375" style="5" customWidth="1"/>
    <col min="8197" max="8197" width="13.42578125" style="5" customWidth="1"/>
    <col min="8198" max="8198" width="14" style="5" customWidth="1"/>
    <col min="8199" max="8199" width="14.7109375" style="5" customWidth="1"/>
    <col min="8200" max="8200" width="15.7109375" style="5" customWidth="1"/>
    <col min="8201" max="8446" width="8.85546875" style="5"/>
    <col min="8447" max="8447" width="19.5703125" style="5" customWidth="1"/>
    <col min="8448" max="8448" width="15.7109375" style="5" customWidth="1"/>
    <col min="8449" max="8449" width="11.7109375" style="5" customWidth="1"/>
    <col min="8450" max="8450" width="14.28515625" style="5" customWidth="1"/>
    <col min="8451" max="8451" width="12.28515625" style="5" customWidth="1"/>
    <col min="8452" max="8452" width="12.7109375" style="5" customWidth="1"/>
    <col min="8453" max="8453" width="13.42578125" style="5" customWidth="1"/>
    <col min="8454" max="8454" width="14" style="5" customWidth="1"/>
    <col min="8455" max="8455" width="14.7109375" style="5" customWidth="1"/>
    <col min="8456" max="8456" width="15.7109375" style="5" customWidth="1"/>
    <col min="8457" max="8702" width="8.85546875" style="5"/>
    <col min="8703" max="8703" width="19.5703125" style="5" customWidth="1"/>
    <col min="8704" max="8704" width="15.7109375" style="5" customWidth="1"/>
    <col min="8705" max="8705" width="11.7109375" style="5" customWidth="1"/>
    <col min="8706" max="8706" width="14.28515625" style="5" customWidth="1"/>
    <col min="8707" max="8707" width="12.28515625" style="5" customWidth="1"/>
    <col min="8708" max="8708" width="12.7109375" style="5" customWidth="1"/>
    <col min="8709" max="8709" width="13.42578125" style="5" customWidth="1"/>
    <col min="8710" max="8710" width="14" style="5" customWidth="1"/>
    <col min="8711" max="8711" width="14.7109375" style="5" customWidth="1"/>
    <col min="8712" max="8712" width="15.7109375" style="5" customWidth="1"/>
    <col min="8713" max="8958" width="8.85546875" style="5"/>
    <col min="8959" max="8959" width="19.5703125" style="5" customWidth="1"/>
    <col min="8960" max="8960" width="15.7109375" style="5" customWidth="1"/>
    <col min="8961" max="8961" width="11.7109375" style="5" customWidth="1"/>
    <col min="8962" max="8962" width="14.28515625" style="5" customWidth="1"/>
    <col min="8963" max="8963" width="12.28515625" style="5" customWidth="1"/>
    <col min="8964" max="8964" width="12.7109375" style="5" customWidth="1"/>
    <col min="8965" max="8965" width="13.42578125" style="5" customWidth="1"/>
    <col min="8966" max="8966" width="14" style="5" customWidth="1"/>
    <col min="8967" max="8967" width="14.7109375" style="5" customWidth="1"/>
    <col min="8968" max="8968" width="15.7109375" style="5" customWidth="1"/>
    <col min="8969" max="9214" width="8.85546875" style="5"/>
    <col min="9215" max="9215" width="19.5703125" style="5" customWidth="1"/>
    <col min="9216" max="9216" width="15.7109375" style="5" customWidth="1"/>
    <col min="9217" max="9217" width="11.7109375" style="5" customWidth="1"/>
    <col min="9218" max="9218" width="14.28515625" style="5" customWidth="1"/>
    <col min="9219" max="9219" width="12.28515625" style="5" customWidth="1"/>
    <col min="9220" max="9220" width="12.7109375" style="5" customWidth="1"/>
    <col min="9221" max="9221" width="13.42578125" style="5" customWidth="1"/>
    <col min="9222" max="9222" width="14" style="5" customWidth="1"/>
    <col min="9223" max="9223" width="14.7109375" style="5" customWidth="1"/>
    <col min="9224" max="9224" width="15.7109375" style="5" customWidth="1"/>
    <col min="9225" max="9470" width="8.85546875" style="5"/>
    <col min="9471" max="9471" width="19.5703125" style="5" customWidth="1"/>
    <col min="9472" max="9472" width="15.7109375" style="5" customWidth="1"/>
    <col min="9473" max="9473" width="11.7109375" style="5" customWidth="1"/>
    <col min="9474" max="9474" width="14.28515625" style="5" customWidth="1"/>
    <col min="9475" max="9475" width="12.28515625" style="5" customWidth="1"/>
    <col min="9476" max="9476" width="12.7109375" style="5" customWidth="1"/>
    <col min="9477" max="9477" width="13.42578125" style="5" customWidth="1"/>
    <col min="9478" max="9478" width="14" style="5" customWidth="1"/>
    <col min="9479" max="9479" width="14.7109375" style="5" customWidth="1"/>
    <col min="9480" max="9480" width="15.7109375" style="5" customWidth="1"/>
    <col min="9481" max="9726" width="8.85546875" style="5"/>
    <col min="9727" max="9727" width="19.5703125" style="5" customWidth="1"/>
    <col min="9728" max="9728" width="15.7109375" style="5" customWidth="1"/>
    <col min="9729" max="9729" width="11.7109375" style="5" customWidth="1"/>
    <col min="9730" max="9730" width="14.28515625" style="5" customWidth="1"/>
    <col min="9731" max="9731" width="12.28515625" style="5" customWidth="1"/>
    <col min="9732" max="9732" width="12.7109375" style="5" customWidth="1"/>
    <col min="9733" max="9733" width="13.42578125" style="5" customWidth="1"/>
    <col min="9734" max="9734" width="14" style="5" customWidth="1"/>
    <col min="9735" max="9735" width="14.7109375" style="5" customWidth="1"/>
    <col min="9736" max="9736" width="15.7109375" style="5" customWidth="1"/>
    <col min="9737" max="9982" width="8.85546875" style="5"/>
    <col min="9983" max="9983" width="19.5703125" style="5" customWidth="1"/>
    <col min="9984" max="9984" width="15.7109375" style="5" customWidth="1"/>
    <col min="9985" max="9985" width="11.7109375" style="5" customWidth="1"/>
    <col min="9986" max="9986" width="14.28515625" style="5" customWidth="1"/>
    <col min="9987" max="9987" width="12.28515625" style="5" customWidth="1"/>
    <col min="9988" max="9988" width="12.7109375" style="5" customWidth="1"/>
    <col min="9989" max="9989" width="13.42578125" style="5" customWidth="1"/>
    <col min="9990" max="9990" width="14" style="5" customWidth="1"/>
    <col min="9991" max="9991" width="14.7109375" style="5" customWidth="1"/>
    <col min="9992" max="9992" width="15.7109375" style="5" customWidth="1"/>
    <col min="9993" max="10238" width="8.85546875" style="5"/>
    <col min="10239" max="10239" width="19.5703125" style="5" customWidth="1"/>
    <col min="10240" max="10240" width="15.7109375" style="5" customWidth="1"/>
    <col min="10241" max="10241" width="11.7109375" style="5" customWidth="1"/>
    <col min="10242" max="10242" width="14.28515625" style="5" customWidth="1"/>
    <col min="10243" max="10243" width="12.28515625" style="5" customWidth="1"/>
    <col min="10244" max="10244" width="12.7109375" style="5" customWidth="1"/>
    <col min="10245" max="10245" width="13.42578125" style="5" customWidth="1"/>
    <col min="10246" max="10246" width="14" style="5" customWidth="1"/>
    <col min="10247" max="10247" width="14.7109375" style="5" customWidth="1"/>
    <col min="10248" max="10248" width="15.7109375" style="5" customWidth="1"/>
    <col min="10249" max="10494" width="8.85546875" style="5"/>
    <col min="10495" max="10495" width="19.5703125" style="5" customWidth="1"/>
    <col min="10496" max="10496" width="15.7109375" style="5" customWidth="1"/>
    <col min="10497" max="10497" width="11.7109375" style="5" customWidth="1"/>
    <col min="10498" max="10498" width="14.28515625" style="5" customWidth="1"/>
    <col min="10499" max="10499" width="12.28515625" style="5" customWidth="1"/>
    <col min="10500" max="10500" width="12.7109375" style="5" customWidth="1"/>
    <col min="10501" max="10501" width="13.42578125" style="5" customWidth="1"/>
    <col min="10502" max="10502" width="14" style="5" customWidth="1"/>
    <col min="10503" max="10503" width="14.7109375" style="5" customWidth="1"/>
    <col min="10504" max="10504" width="15.7109375" style="5" customWidth="1"/>
    <col min="10505" max="10750" width="8.85546875" style="5"/>
    <col min="10751" max="10751" width="19.5703125" style="5" customWidth="1"/>
    <col min="10752" max="10752" width="15.7109375" style="5" customWidth="1"/>
    <col min="10753" max="10753" width="11.7109375" style="5" customWidth="1"/>
    <col min="10754" max="10754" width="14.28515625" style="5" customWidth="1"/>
    <col min="10755" max="10755" width="12.28515625" style="5" customWidth="1"/>
    <col min="10756" max="10756" width="12.7109375" style="5" customWidth="1"/>
    <col min="10757" max="10757" width="13.42578125" style="5" customWidth="1"/>
    <col min="10758" max="10758" width="14" style="5" customWidth="1"/>
    <col min="10759" max="10759" width="14.7109375" style="5" customWidth="1"/>
    <col min="10760" max="10760" width="15.7109375" style="5" customWidth="1"/>
    <col min="10761" max="11006" width="8.85546875" style="5"/>
    <col min="11007" max="11007" width="19.5703125" style="5" customWidth="1"/>
    <col min="11008" max="11008" width="15.7109375" style="5" customWidth="1"/>
    <col min="11009" max="11009" width="11.7109375" style="5" customWidth="1"/>
    <col min="11010" max="11010" width="14.28515625" style="5" customWidth="1"/>
    <col min="11011" max="11011" width="12.28515625" style="5" customWidth="1"/>
    <col min="11012" max="11012" width="12.7109375" style="5" customWidth="1"/>
    <col min="11013" max="11013" width="13.42578125" style="5" customWidth="1"/>
    <col min="11014" max="11014" width="14" style="5" customWidth="1"/>
    <col min="11015" max="11015" width="14.7109375" style="5" customWidth="1"/>
    <col min="11016" max="11016" width="15.7109375" style="5" customWidth="1"/>
    <col min="11017" max="11262" width="8.85546875" style="5"/>
    <col min="11263" max="11263" width="19.5703125" style="5" customWidth="1"/>
    <col min="11264" max="11264" width="15.7109375" style="5" customWidth="1"/>
    <col min="11265" max="11265" width="11.7109375" style="5" customWidth="1"/>
    <col min="11266" max="11266" width="14.28515625" style="5" customWidth="1"/>
    <col min="11267" max="11267" width="12.28515625" style="5" customWidth="1"/>
    <col min="11268" max="11268" width="12.7109375" style="5" customWidth="1"/>
    <col min="11269" max="11269" width="13.42578125" style="5" customWidth="1"/>
    <col min="11270" max="11270" width="14" style="5" customWidth="1"/>
    <col min="11271" max="11271" width="14.7109375" style="5" customWidth="1"/>
    <col min="11272" max="11272" width="15.7109375" style="5" customWidth="1"/>
    <col min="11273" max="11518" width="8.85546875" style="5"/>
    <col min="11519" max="11519" width="19.5703125" style="5" customWidth="1"/>
    <col min="11520" max="11520" width="15.7109375" style="5" customWidth="1"/>
    <col min="11521" max="11521" width="11.7109375" style="5" customWidth="1"/>
    <col min="11522" max="11522" width="14.28515625" style="5" customWidth="1"/>
    <col min="11523" max="11523" width="12.28515625" style="5" customWidth="1"/>
    <col min="11524" max="11524" width="12.7109375" style="5" customWidth="1"/>
    <col min="11525" max="11525" width="13.42578125" style="5" customWidth="1"/>
    <col min="11526" max="11526" width="14" style="5" customWidth="1"/>
    <col min="11527" max="11527" width="14.7109375" style="5" customWidth="1"/>
    <col min="11528" max="11528" width="15.7109375" style="5" customWidth="1"/>
    <col min="11529" max="11774" width="8.85546875" style="5"/>
    <col min="11775" max="11775" width="19.5703125" style="5" customWidth="1"/>
    <col min="11776" max="11776" width="15.7109375" style="5" customWidth="1"/>
    <col min="11777" max="11777" width="11.7109375" style="5" customWidth="1"/>
    <col min="11778" max="11778" width="14.28515625" style="5" customWidth="1"/>
    <col min="11779" max="11779" width="12.28515625" style="5" customWidth="1"/>
    <col min="11780" max="11780" width="12.7109375" style="5" customWidth="1"/>
    <col min="11781" max="11781" width="13.42578125" style="5" customWidth="1"/>
    <col min="11782" max="11782" width="14" style="5" customWidth="1"/>
    <col min="11783" max="11783" width="14.7109375" style="5" customWidth="1"/>
    <col min="11784" max="11784" width="15.7109375" style="5" customWidth="1"/>
    <col min="11785" max="12030" width="8.85546875" style="5"/>
    <col min="12031" max="12031" width="19.5703125" style="5" customWidth="1"/>
    <col min="12032" max="12032" width="15.7109375" style="5" customWidth="1"/>
    <col min="12033" max="12033" width="11.7109375" style="5" customWidth="1"/>
    <col min="12034" max="12034" width="14.28515625" style="5" customWidth="1"/>
    <col min="12035" max="12035" width="12.28515625" style="5" customWidth="1"/>
    <col min="12036" max="12036" width="12.7109375" style="5" customWidth="1"/>
    <col min="12037" max="12037" width="13.42578125" style="5" customWidth="1"/>
    <col min="12038" max="12038" width="14" style="5" customWidth="1"/>
    <col min="12039" max="12039" width="14.7109375" style="5" customWidth="1"/>
    <col min="12040" max="12040" width="15.7109375" style="5" customWidth="1"/>
    <col min="12041" max="12286" width="8.85546875" style="5"/>
    <col min="12287" max="12287" width="19.5703125" style="5" customWidth="1"/>
    <col min="12288" max="12288" width="15.7109375" style="5" customWidth="1"/>
    <col min="12289" max="12289" width="11.7109375" style="5" customWidth="1"/>
    <col min="12290" max="12290" width="14.28515625" style="5" customWidth="1"/>
    <col min="12291" max="12291" width="12.28515625" style="5" customWidth="1"/>
    <col min="12292" max="12292" width="12.7109375" style="5" customWidth="1"/>
    <col min="12293" max="12293" width="13.42578125" style="5" customWidth="1"/>
    <col min="12294" max="12294" width="14" style="5" customWidth="1"/>
    <col min="12295" max="12295" width="14.7109375" style="5" customWidth="1"/>
    <col min="12296" max="12296" width="15.7109375" style="5" customWidth="1"/>
    <col min="12297" max="12542" width="8.85546875" style="5"/>
    <col min="12543" max="12543" width="19.5703125" style="5" customWidth="1"/>
    <col min="12544" max="12544" width="15.7109375" style="5" customWidth="1"/>
    <col min="12545" max="12545" width="11.7109375" style="5" customWidth="1"/>
    <col min="12546" max="12546" width="14.28515625" style="5" customWidth="1"/>
    <col min="12547" max="12547" width="12.28515625" style="5" customWidth="1"/>
    <col min="12548" max="12548" width="12.7109375" style="5" customWidth="1"/>
    <col min="12549" max="12549" width="13.42578125" style="5" customWidth="1"/>
    <col min="12550" max="12550" width="14" style="5" customWidth="1"/>
    <col min="12551" max="12551" width="14.7109375" style="5" customWidth="1"/>
    <col min="12552" max="12552" width="15.7109375" style="5" customWidth="1"/>
    <col min="12553" max="12798" width="8.85546875" style="5"/>
    <col min="12799" max="12799" width="19.5703125" style="5" customWidth="1"/>
    <col min="12800" max="12800" width="15.7109375" style="5" customWidth="1"/>
    <col min="12801" max="12801" width="11.7109375" style="5" customWidth="1"/>
    <col min="12802" max="12802" width="14.28515625" style="5" customWidth="1"/>
    <col min="12803" max="12803" width="12.28515625" style="5" customWidth="1"/>
    <col min="12804" max="12804" width="12.7109375" style="5" customWidth="1"/>
    <col min="12805" max="12805" width="13.42578125" style="5" customWidth="1"/>
    <col min="12806" max="12806" width="14" style="5" customWidth="1"/>
    <col min="12807" max="12807" width="14.7109375" style="5" customWidth="1"/>
    <col min="12808" max="12808" width="15.7109375" style="5" customWidth="1"/>
    <col min="12809" max="13054" width="8.85546875" style="5"/>
    <col min="13055" max="13055" width="19.5703125" style="5" customWidth="1"/>
    <col min="13056" max="13056" width="15.7109375" style="5" customWidth="1"/>
    <col min="13057" max="13057" width="11.7109375" style="5" customWidth="1"/>
    <col min="13058" max="13058" width="14.28515625" style="5" customWidth="1"/>
    <col min="13059" max="13059" width="12.28515625" style="5" customWidth="1"/>
    <col min="13060" max="13060" width="12.7109375" style="5" customWidth="1"/>
    <col min="13061" max="13061" width="13.42578125" style="5" customWidth="1"/>
    <col min="13062" max="13062" width="14" style="5" customWidth="1"/>
    <col min="13063" max="13063" width="14.7109375" style="5" customWidth="1"/>
    <col min="13064" max="13064" width="15.7109375" style="5" customWidth="1"/>
    <col min="13065" max="13310" width="8.85546875" style="5"/>
    <col min="13311" max="13311" width="19.5703125" style="5" customWidth="1"/>
    <col min="13312" max="13312" width="15.7109375" style="5" customWidth="1"/>
    <col min="13313" max="13313" width="11.7109375" style="5" customWidth="1"/>
    <col min="13314" max="13314" width="14.28515625" style="5" customWidth="1"/>
    <col min="13315" max="13315" width="12.28515625" style="5" customWidth="1"/>
    <col min="13316" max="13316" width="12.7109375" style="5" customWidth="1"/>
    <col min="13317" max="13317" width="13.42578125" style="5" customWidth="1"/>
    <col min="13318" max="13318" width="14" style="5" customWidth="1"/>
    <col min="13319" max="13319" width="14.7109375" style="5" customWidth="1"/>
    <col min="13320" max="13320" width="15.7109375" style="5" customWidth="1"/>
    <col min="13321" max="13566" width="8.85546875" style="5"/>
    <col min="13567" max="13567" width="19.5703125" style="5" customWidth="1"/>
    <col min="13568" max="13568" width="15.7109375" style="5" customWidth="1"/>
    <col min="13569" max="13569" width="11.7109375" style="5" customWidth="1"/>
    <col min="13570" max="13570" width="14.28515625" style="5" customWidth="1"/>
    <col min="13571" max="13571" width="12.28515625" style="5" customWidth="1"/>
    <col min="13572" max="13572" width="12.7109375" style="5" customWidth="1"/>
    <col min="13573" max="13573" width="13.42578125" style="5" customWidth="1"/>
    <col min="13574" max="13574" width="14" style="5" customWidth="1"/>
    <col min="13575" max="13575" width="14.7109375" style="5" customWidth="1"/>
    <col min="13576" max="13576" width="15.7109375" style="5" customWidth="1"/>
    <col min="13577" max="13822" width="8.85546875" style="5"/>
    <col min="13823" max="13823" width="19.5703125" style="5" customWidth="1"/>
    <col min="13824" max="13824" width="15.7109375" style="5" customWidth="1"/>
    <col min="13825" max="13825" width="11.7109375" style="5" customWidth="1"/>
    <col min="13826" max="13826" width="14.28515625" style="5" customWidth="1"/>
    <col min="13827" max="13827" width="12.28515625" style="5" customWidth="1"/>
    <col min="13828" max="13828" width="12.7109375" style="5" customWidth="1"/>
    <col min="13829" max="13829" width="13.42578125" style="5" customWidth="1"/>
    <col min="13830" max="13830" width="14" style="5" customWidth="1"/>
    <col min="13831" max="13831" width="14.7109375" style="5" customWidth="1"/>
    <col min="13832" max="13832" width="15.7109375" style="5" customWidth="1"/>
    <col min="13833" max="14078" width="8.85546875" style="5"/>
    <col min="14079" max="14079" width="19.5703125" style="5" customWidth="1"/>
    <col min="14080" max="14080" width="15.7109375" style="5" customWidth="1"/>
    <col min="14081" max="14081" width="11.7109375" style="5" customWidth="1"/>
    <col min="14082" max="14082" width="14.28515625" style="5" customWidth="1"/>
    <col min="14083" max="14083" width="12.28515625" style="5" customWidth="1"/>
    <col min="14084" max="14084" width="12.7109375" style="5" customWidth="1"/>
    <col min="14085" max="14085" width="13.42578125" style="5" customWidth="1"/>
    <col min="14086" max="14086" width="14" style="5" customWidth="1"/>
    <col min="14087" max="14087" width="14.7109375" style="5" customWidth="1"/>
    <col min="14088" max="14088" width="15.7109375" style="5" customWidth="1"/>
    <col min="14089" max="14334" width="8.85546875" style="5"/>
    <col min="14335" max="14335" width="19.5703125" style="5" customWidth="1"/>
    <col min="14336" max="14336" width="15.7109375" style="5" customWidth="1"/>
    <col min="14337" max="14337" width="11.7109375" style="5" customWidth="1"/>
    <col min="14338" max="14338" width="14.28515625" style="5" customWidth="1"/>
    <col min="14339" max="14339" width="12.28515625" style="5" customWidth="1"/>
    <col min="14340" max="14340" width="12.7109375" style="5" customWidth="1"/>
    <col min="14341" max="14341" width="13.42578125" style="5" customWidth="1"/>
    <col min="14342" max="14342" width="14" style="5" customWidth="1"/>
    <col min="14343" max="14343" width="14.7109375" style="5" customWidth="1"/>
    <col min="14344" max="14344" width="15.7109375" style="5" customWidth="1"/>
    <col min="14345" max="14590" width="8.85546875" style="5"/>
    <col min="14591" max="14591" width="19.5703125" style="5" customWidth="1"/>
    <col min="14592" max="14592" width="15.7109375" style="5" customWidth="1"/>
    <col min="14593" max="14593" width="11.7109375" style="5" customWidth="1"/>
    <col min="14594" max="14594" width="14.28515625" style="5" customWidth="1"/>
    <col min="14595" max="14595" width="12.28515625" style="5" customWidth="1"/>
    <col min="14596" max="14596" width="12.7109375" style="5" customWidth="1"/>
    <col min="14597" max="14597" width="13.42578125" style="5" customWidth="1"/>
    <col min="14598" max="14598" width="14" style="5" customWidth="1"/>
    <col min="14599" max="14599" width="14.7109375" style="5" customWidth="1"/>
    <col min="14600" max="14600" width="15.7109375" style="5" customWidth="1"/>
    <col min="14601" max="14846" width="8.85546875" style="5"/>
    <col min="14847" max="14847" width="19.5703125" style="5" customWidth="1"/>
    <col min="14848" max="14848" width="15.7109375" style="5" customWidth="1"/>
    <col min="14849" max="14849" width="11.7109375" style="5" customWidth="1"/>
    <col min="14850" max="14850" width="14.28515625" style="5" customWidth="1"/>
    <col min="14851" max="14851" width="12.28515625" style="5" customWidth="1"/>
    <col min="14852" max="14852" width="12.7109375" style="5" customWidth="1"/>
    <col min="14853" max="14853" width="13.42578125" style="5" customWidth="1"/>
    <col min="14854" max="14854" width="14" style="5" customWidth="1"/>
    <col min="14855" max="14855" width="14.7109375" style="5" customWidth="1"/>
    <col min="14856" max="14856" width="15.7109375" style="5" customWidth="1"/>
    <col min="14857" max="15102" width="8.85546875" style="5"/>
    <col min="15103" max="15103" width="19.5703125" style="5" customWidth="1"/>
    <col min="15104" max="15104" width="15.7109375" style="5" customWidth="1"/>
    <col min="15105" max="15105" width="11.7109375" style="5" customWidth="1"/>
    <col min="15106" max="15106" width="14.28515625" style="5" customWidth="1"/>
    <col min="15107" max="15107" width="12.28515625" style="5" customWidth="1"/>
    <col min="15108" max="15108" width="12.7109375" style="5" customWidth="1"/>
    <col min="15109" max="15109" width="13.42578125" style="5" customWidth="1"/>
    <col min="15110" max="15110" width="14" style="5" customWidth="1"/>
    <col min="15111" max="15111" width="14.7109375" style="5" customWidth="1"/>
    <col min="15112" max="15112" width="15.7109375" style="5" customWidth="1"/>
    <col min="15113" max="15358" width="8.85546875" style="5"/>
    <col min="15359" max="15359" width="19.5703125" style="5" customWidth="1"/>
    <col min="15360" max="15360" width="15.7109375" style="5" customWidth="1"/>
    <col min="15361" max="15361" width="11.7109375" style="5" customWidth="1"/>
    <col min="15362" max="15362" width="14.28515625" style="5" customWidth="1"/>
    <col min="15363" max="15363" width="12.28515625" style="5" customWidth="1"/>
    <col min="15364" max="15364" width="12.7109375" style="5" customWidth="1"/>
    <col min="15365" max="15365" width="13.42578125" style="5" customWidth="1"/>
    <col min="15366" max="15366" width="14" style="5" customWidth="1"/>
    <col min="15367" max="15367" width="14.7109375" style="5" customWidth="1"/>
    <col min="15368" max="15368" width="15.7109375" style="5" customWidth="1"/>
    <col min="15369" max="15614" width="8.85546875" style="5"/>
    <col min="15615" max="15615" width="19.5703125" style="5" customWidth="1"/>
    <col min="15616" max="15616" width="15.7109375" style="5" customWidth="1"/>
    <col min="15617" max="15617" width="11.7109375" style="5" customWidth="1"/>
    <col min="15618" max="15618" width="14.28515625" style="5" customWidth="1"/>
    <col min="15619" max="15619" width="12.28515625" style="5" customWidth="1"/>
    <col min="15620" max="15620" width="12.7109375" style="5" customWidth="1"/>
    <col min="15621" max="15621" width="13.42578125" style="5" customWidth="1"/>
    <col min="15622" max="15622" width="14" style="5" customWidth="1"/>
    <col min="15623" max="15623" width="14.7109375" style="5" customWidth="1"/>
    <col min="15624" max="15624" width="15.7109375" style="5" customWidth="1"/>
    <col min="15625" max="15870" width="8.85546875" style="5"/>
    <col min="15871" max="15871" width="19.5703125" style="5" customWidth="1"/>
    <col min="15872" max="15872" width="15.7109375" style="5" customWidth="1"/>
    <col min="15873" max="15873" width="11.7109375" style="5" customWidth="1"/>
    <col min="15874" max="15874" width="14.28515625" style="5" customWidth="1"/>
    <col min="15875" max="15875" width="12.28515625" style="5" customWidth="1"/>
    <col min="15876" max="15876" width="12.7109375" style="5" customWidth="1"/>
    <col min="15877" max="15877" width="13.42578125" style="5" customWidth="1"/>
    <col min="15878" max="15878" width="14" style="5" customWidth="1"/>
    <col min="15879" max="15879" width="14.7109375" style="5" customWidth="1"/>
    <col min="15880" max="15880" width="15.7109375" style="5" customWidth="1"/>
    <col min="15881" max="16126" width="8.85546875" style="5"/>
    <col min="16127" max="16127" width="19.5703125" style="5" customWidth="1"/>
    <col min="16128" max="16128" width="15.7109375" style="5" customWidth="1"/>
    <col min="16129" max="16129" width="11.7109375" style="5" customWidth="1"/>
    <col min="16130" max="16130" width="14.28515625" style="5" customWidth="1"/>
    <col min="16131" max="16131" width="12.28515625" style="5" customWidth="1"/>
    <col min="16132" max="16132" width="12.7109375" style="5" customWidth="1"/>
    <col min="16133" max="16133" width="13.42578125" style="5" customWidth="1"/>
    <col min="16134" max="16134" width="14" style="5" customWidth="1"/>
    <col min="16135" max="16135" width="14.7109375" style="5" customWidth="1"/>
    <col min="16136" max="16136" width="15.7109375" style="5" customWidth="1"/>
    <col min="16137" max="16384" width="8.85546875" style="5"/>
  </cols>
  <sheetData>
    <row r="1" spans="1:17" ht="21.75" customHeight="1" thickBot="1" x14ac:dyDescent="0.25">
      <c r="A1" s="66"/>
      <c r="B1" s="264" t="s">
        <v>129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</row>
    <row r="2" spans="1:17" ht="16.149999999999999" customHeight="1" thickBot="1" x14ac:dyDescent="0.25">
      <c r="A2" s="279" t="s">
        <v>100</v>
      </c>
      <c r="B2" s="278"/>
      <c r="C2" s="278"/>
      <c r="D2" s="278"/>
      <c r="E2" s="278"/>
      <c r="F2" s="278"/>
      <c r="G2" s="105" t="s">
        <v>163</v>
      </c>
      <c r="H2" s="105" t="s">
        <v>121</v>
      </c>
      <c r="I2" s="106" t="s">
        <v>96</v>
      </c>
      <c r="J2" s="107" t="s">
        <v>128</v>
      </c>
      <c r="K2" s="278" t="s">
        <v>97</v>
      </c>
      <c r="L2" s="278"/>
      <c r="M2" s="278"/>
      <c r="N2" s="266" t="s">
        <v>71</v>
      </c>
      <c r="O2" s="267"/>
      <c r="P2" s="267"/>
      <c r="Q2" s="268"/>
    </row>
    <row r="3" spans="1:17" ht="14.45" customHeight="1" thickBot="1" x14ac:dyDescent="0.3">
      <c r="A3" s="94" t="s">
        <v>6</v>
      </c>
      <c r="B3" s="280"/>
      <c r="C3" s="280"/>
      <c r="D3" s="281"/>
      <c r="E3" s="273" t="s">
        <v>98</v>
      </c>
      <c r="F3" s="274"/>
      <c r="G3" s="137"/>
      <c r="H3" s="138"/>
      <c r="I3" s="138"/>
      <c r="J3" s="139"/>
      <c r="K3" s="62" t="s">
        <v>7</v>
      </c>
      <c r="L3" s="60" t="s">
        <v>8</v>
      </c>
      <c r="M3" s="98" t="s">
        <v>9</v>
      </c>
      <c r="N3" s="119" t="s">
        <v>84</v>
      </c>
      <c r="O3" s="269" t="s">
        <v>70</v>
      </c>
      <c r="P3" s="269"/>
      <c r="Q3" s="270"/>
    </row>
    <row r="4" spans="1:17" ht="15" x14ac:dyDescent="0.25">
      <c r="A4" s="95" t="s">
        <v>89</v>
      </c>
      <c r="B4" s="230"/>
      <c r="C4" s="231"/>
      <c r="D4" s="232"/>
      <c r="E4" s="233" t="s">
        <v>137</v>
      </c>
      <c r="F4" s="234"/>
      <c r="G4" s="65"/>
      <c r="H4" s="64"/>
      <c r="I4" s="64"/>
      <c r="J4" s="61"/>
      <c r="K4" s="63" t="s">
        <v>85</v>
      </c>
      <c r="L4" s="32"/>
      <c r="M4" s="99"/>
      <c r="N4" s="70" t="s">
        <v>131</v>
      </c>
      <c r="O4" s="271"/>
      <c r="P4" s="271"/>
      <c r="Q4" s="272"/>
    </row>
    <row r="5" spans="1:17" ht="15" x14ac:dyDescent="0.25">
      <c r="A5" s="95" t="s">
        <v>11</v>
      </c>
      <c r="B5" s="275">
        <f>'Work Order'!C3</f>
        <v>0</v>
      </c>
      <c r="C5" s="231" t="e">
        <v>#REF!</v>
      </c>
      <c r="D5" s="232"/>
      <c r="E5" s="276" t="s">
        <v>99</v>
      </c>
      <c r="F5" s="277"/>
      <c r="G5" s="30"/>
      <c r="H5" s="32"/>
      <c r="I5" s="32"/>
      <c r="J5" s="31"/>
      <c r="K5" s="63" t="s">
        <v>86</v>
      </c>
      <c r="L5" s="32"/>
      <c r="M5" s="99"/>
      <c r="N5" s="40" t="s">
        <v>132</v>
      </c>
      <c r="O5" s="228"/>
      <c r="P5" s="228"/>
      <c r="Q5" s="229"/>
    </row>
    <row r="6" spans="1:17" ht="15" x14ac:dyDescent="0.25">
      <c r="A6" s="95" t="s">
        <v>4</v>
      </c>
      <c r="B6" s="230">
        <f>'Work Order'!C5</f>
        <v>0</v>
      </c>
      <c r="C6" s="231" t="e">
        <v>#REF!</v>
      </c>
      <c r="D6" s="232"/>
      <c r="E6" s="233" t="s">
        <v>138</v>
      </c>
      <c r="F6" s="234"/>
      <c r="G6" s="30"/>
      <c r="H6" s="32"/>
      <c r="I6" s="32"/>
      <c r="J6" s="31"/>
      <c r="K6" s="63" t="s">
        <v>87</v>
      </c>
      <c r="L6" s="32"/>
      <c r="M6" s="99"/>
      <c r="N6" s="40" t="s">
        <v>135</v>
      </c>
      <c r="O6" s="228"/>
      <c r="P6" s="228"/>
      <c r="Q6" s="229"/>
    </row>
    <row r="7" spans="1:17" ht="15" customHeight="1" thickBot="1" x14ac:dyDescent="0.3">
      <c r="A7" s="96" t="s">
        <v>90</v>
      </c>
      <c r="B7" s="230"/>
      <c r="C7" s="231"/>
      <c r="D7" s="232"/>
      <c r="E7" s="249" t="s">
        <v>130</v>
      </c>
      <c r="F7" s="250"/>
      <c r="G7" s="140"/>
      <c r="H7" s="141"/>
      <c r="I7" s="141"/>
      <c r="J7" s="142"/>
      <c r="K7" s="100" t="s">
        <v>91</v>
      </c>
      <c r="L7" s="101"/>
      <c r="M7" s="102"/>
      <c r="N7" s="41" t="s">
        <v>133</v>
      </c>
      <c r="O7" s="240"/>
      <c r="P7" s="240"/>
      <c r="Q7" s="241"/>
    </row>
    <row r="8" spans="1:17" ht="15" customHeight="1" thickBot="1" x14ac:dyDescent="0.3">
      <c r="A8" s="97" t="s">
        <v>10</v>
      </c>
      <c r="B8" s="246" t="str">
        <f>'Work Order'!C4</f>
        <v>Lanark</v>
      </c>
      <c r="C8" s="246"/>
      <c r="D8" s="246"/>
      <c r="E8" s="247" t="s">
        <v>88</v>
      </c>
      <c r="F8" s="248"/>
      <c r="G8" s="143"/>
      <c r="H8" s="242"/>
      <c r="I8" s="243"/>
      <c r="J8" s="243"/>
      <c r="K8" s="244"/>
      <c r="L8" s="244"/>
      <c r="M8" s="244"/>
      <c r="N8" s="244"/>
      <c r="O8" s="244"/>
      <c r="P8" s="244"/>
      <c r="Q8" s="245"/>
    </row>
    <row r="9" spans="1:17" ht="15" thickBot="1" x14ac:dyDescent="0.25"/>
    <row r="10" spans="1:17" ht="14.45" customHeight="1" thickBot="1" x14ac:dyDescent="0.3">
      <c r="A10" s="251" t="s">
        <v>114</v>
      </c>
      <c r="B10" s="252"/>
      <c r="D10" s="255" t="s">
        <v>136</v>
      </c>
      <c r="E10" s="256"/>
      <c r="F10" s="256"/>
      <c r="G10" s="256"/>
      <c r="H10" s="257"/>
      <c r="I10" s="237" t="s">
        <v>110</v>
      </c>
      <c r="J10" s="238"/>
      <c r="K10" s="239"/>
      <c r="L10" s="235" t="s">
        <v>149</v>
      </c>
      <c r="M10" s="296" t="s">
        <v>148</v>
      </c>
      <c r="N10" s="261" t="s">
        <v>139</v>
      </c>
      <c r="O10" s="262"/>
      <c r="P10" s="262"/>
      <c r="Q10" s="263"/>
    </row>
    <row r="11" spans="1:17" ht="30.75" thickBot="1" x14ac:dyDescent="0.3">
      <c r="A11" s="253"/>
      <c r="B11" s="254"/>
      <c r="D11" s="75" t="s">
        <v>161</v>
      </c>
      <c r="E11" s="76" t="s">
        <v>164</v>
      </c>
      <c r="F11" s="76" t="s">
        <v>108</v>
      </c>
      <c r="G11" s="76" t="s">
        <v>134</v>
      </c>
      <c r="H11" s="144" t="s">
        <v>109</v>
      </c>
      <c r="I11" s="72" t="s">
        <v>111</v>
      </c>
      <c r="J11" s="73" t="s">
        <v>112</v>
      </c>
      <c r="K11" s="74" t="s">
        <v>142</v>
      </c>
      <c r="L11" s="236"/>
      <c r="M11" s="297"/>
      <c r="N11" s="155"/>
      <c r="O11" s="156" t="s">
        <v>175</v>
      </c>
      <c r="P11" s="157" t="s">
        <v>171</v>
      </c>
      <c r="Q11" s="164" t="s">
        <v>172</v>
      </c>
    </row>
    <row r="12" spans="1:17" ht="15" x14ac:dyDescent="0.25">
      <c r="A12" s="117" t="s">
        <v>156</v>
      </c>
      <c r="B12" s="118"/>
      <c r="D12" s="79"/>
      <c r="E12" s="133"/>
      <c r="F12" s="125"/>
      <c r="G12" s="125"/>
      <c r="H12" s="126"/>
      <c r="I12" s="79"/>
      <c r="J12" s="80"/>
      <c r="K12" s="81">
        <f>I12*J12</f>
        <v>0</v>
      </c>
      <c r="L12" s="104" t="e">
        <f>F12/K12</f>
        <v>#DIV/0!</v>
      </c>
      <c r="M12" s="56" t="e">
        <f t="shared" ref="M12:M23" si="0">H12/K12</f>
        <v>#DIV/0!</v>
      </c>
      <c r="N12" s="158" t="s">
        <v>173</v>
      </c>
      <c r="O12" s="159"/>
      <c r="P12" s="159"/>
      <c r="Q12" s="160"/>
    </row>
    <row r="13" spans="1:17" ht="15" x14ac:dyDescent="0.25">
      <c r="A13" s="40" t="s">
        <v>157</v>
      </c>
      <c r="B13" s="68"/>
      <c r="D13" s="82"/>
      <c r="E13" s="131"/>
      <c r="F13" s="127"/>
      <c r="G13" s="127"/>
      <c r="H13" s="128"/>
      <c r="I13" s="82"/>
      <c r="J13" s="67"/>
      <c r="K13" s="81">
        <f t="shared" ref="K13:K23" si="1">I13*J13</f>
        <v>0</v>
      </c>
      <c r="L13" s="104" t="e">
        <f t="shared" ref="L13:L23" si="2">F13/K13</f>
        <v>#DIV/0!</v>
      </c>
      <c r="M13" s="52" t="e">
        <f t="shared" si="0"/>
        <v>#DIV/0!</v>
      </c>
      <c r="N13" s="161" t="s">
        <v>174</v>
      </c>
      <c r="O13" s="162"/>
      <c r="P13" s="162"/>
      <c r="Q13" s="163"/>
    </row>
    <row r="14" spans="1:17" ht="15" thickBot="1" x14ac:dyDescent="0.25">
      <c r="A14" s="70" t="s">
        <v>104</v>
      </c>
      <c r="B14" s="71"/>
      <c r="D14" s="82"/>
      <c r="E14" s="131"/>
      <c r="F14" s="127"/>
      <c r="G14" s="127"/>
      <c r="H14" s="128"/>
      <c r="I14" s="82"/>
      <c r="J14" s="67"/>
      <c r="K14" s="81">
        <f t="shared" si="1"/>
        <v>0</v>
      </c>
      <c r="L14" s="104" t="e">
        <f t="shared" si="2"/>
        <v>#DIV/0!</v>
      </c>
      <c r="M14" s="52" t="e">
        <f t="shared" si="0"/>
        <v>#DIV/0!</v>
      </c>
      <c r="N14" s="78"/>
      <c r="O14" s="153"/>
      <c r="P14" s="153"/>
      <c r="Q14" s="165"/>
    </row>
    <row r="15" spans="1:17" ht="15" customHeight="1" thickBot="1" x14ac:dyDescent="0.3">
      <c r="A15" s="40" t="s">
        <v>105</v>
      </c>
      <c r="B15" s="68"/>
      <c r="D15" s="82"/>
      <c r="E15" s="131"/>
      <c r="F15" s="127"/>
      <c r="G15" s="127"/>
      <c r="H15" s="128"/>
      <c r="I15" s="82"/>
      <c r="J15" s="67"/>
      <c r="K15" s="81">
        <f t="shared" si="1"/>
        <v>0</v>
      </c>
      <c r="L15" s="104" t="e">
        <f t="shared" si="2"/>
        <v>#DIV/0!</v>
      </c>
      <c r="M15" s="52" t="e">
        <f t="shared" si="0"/>
        <v>#DIV/0!</v>
      </c>
      <c r="N15" s="155"/>
      <c r="O15" s="156" t="s">
        <v>175</v>
      </c>
      <c r="P15" s="157" t="s">
        <v>171</v>
      </c>
      <c r="Q15" s="164" t="s">
        <v>172</v>
      </c>
    </row>
    <row r="16" spans="1:17" ht="14.45" customHeight="1" x14ac:dyDescent="0.25">
      <c r="A16" s="40" t="s">
        <v>119</v>
      </c>
      <c r="B16" s="68"/>
      <c r="D16" s="82"/>
      <c r="E16" s="131"/>
      <c r="F16" s="127"/>
      <c r="G16" s="127"/>
      <c r="H16" s="128"/>
      <c r="I16" s="82"/>
      <c r="J16" s="67"/>
      <c r="K16" s="81">
        <f t="shared" si="1"/>
        <v>0</v>
      </c>
      <c r="L16" s="104" t="e">
        <f t="shared" si="2"/>
        <v>#DIV/0!</v>
      </c>
      <c r="M16" s="52" t="e">
        <f t="shared" si="0"/>
        <v>#DIV/0!</v>
      </c>
      <c r="N16" s="158" t="s">
        <v>173</v>
      </c>
      <c r="O16" s="159"/>
      <c r="P16" s="159"/>
      <c r="Q16" s="160"/>
    </row>
    <row r="17" spans="1:17" ht="14.45" customHeight="1" x14ac:dyDescent="0.25">
      <c r="A17" s="40" t="s">
        <v>158</v>
      </c>
      <c r="B17" s="68"/>
      <c r="D17" s="82"/>
      <c r="E17" s="131"/>
      <c r="F17" s="127"/>
      <c r="G17" s="127"/>
      <c r="H17" s="128"/>
      <c r="I17" s="82"/>
      <c r="J17" s="67"/>
      <c r="K17" s="81">
        <f t="shared" si="1"/>
        <v>0</v>
      </c>
      <c r="L17" s="104" t="e">
        <f t="shared" si="2"/>
        <v>#DIV/0!</v>
      </c>
      <c r="M17" s="52" t="e">
        <f t="shared" si="0"/>
        <v>#DIV/0!</v>
      </c>
      <c r="N17" s="161" t="s">
        <v>174</v>
      </c>
      <c r="O17" s="162"/>
      <c r="P17" s="162"/>
      <c r="Q17" s="163"/>
    </row>
    <row r="18" spans="1:17" ht="14.45" customHeight="1" thickBot="1" x14ac:dyDescent="0.25">
      <c r="A18" s="40" t="s">
        <v>106</v>
      </c>
      <c r="B18" s="68"/>
      <c r="D18" s="82"/>
      <c r="E18" s="131"/>
      <c r="F18" s="127"/>
      <c r="G18" s="127"/>
      <c r="H18" s="128"/>
      <c r="I18" s="82"/>
      <c r="J18" s="67"/>
      <c r="K18" s="81">
        <f t="shared" si="1"/>
        <v>0</v>
      </c>
      <c r="L18" s="104" t="e">
        <f t="shared" si="2"/>
        <v>#DIV/0!</v>
      </c>
      <c r="M18" s="52" t="e">
        <f t="shared" si="0"/>
        <v>#DIV/0!</v>
      </c>
      <c r="N18" s="78"/>
      <c r="O18" s="153"/>
      <c r="P18" s="153"/>
      <c r="Q18" s="165"/>
    </row>
    <row r="19" spans="1:17" ht="14.45" customHeight="1" thickBot="1" x14ac:dyDescent="0.3">
      <c r="A19" s="40" t="s">
        <v>143</v>
      </c>
      <c r="B19" s="68"/>
      <c r="D19" s="82"/>
      <c r="E19" s="131"/>
      <c r="F19" s="127"/>
      <c r="G19" s="127"/>
      <c r="H19" s="128"/>
      <c r="I19" s="82"/>
      <c r="J19" s="67"/>
      <c r="K19" s="81">
        <f t="shared" si="1"/>
        <v>0</v>
      </c>
      <c r="L19" s="104" t="e">
        <f t="shared" si="2"/>
        <v>#DIV/0!</v>
      </c>
      <c r="M19" s="52" t="e">
        <f t="shared" si="0"/>
        <v>#DIV/0!</v>
      </c>
      <c r="N19" s="155"/>
      <c r="O19" s="156" t="s">
        <v>175</v>
      </c>
      <c r="P19" s="157" t="s">
        <v>171</v>
      </c>
      <c r="Q19" s="164" t="s">
        <v>172</v>
      </c>
    </row>
    <row r="20" spans="1:17" ht="14.45" customHeight="1" x14ac:dyDescent="0.25">
      <c r="A20" s="40" t="s">
        <v>144</v>
      </c>
      <c r="B20" s="68"/>
      <c r="D20" s="82"/>
      <c r="E20" s="131"/>
      <c r="F20" s="127"/>
      <c r="G20" s="127"/>
      <c r="H20" s="128"/>
      <c r="I20" s="82"/>
      <c r="J20" s="67"/>
      <c r="K20" s="81">
        <f t="shared" si="1"/>
        <v>0</v>
      </c>
      <c r="L20" s="104" t="e">
        <f t="shared" si="2"/>
        <v>#DIV/0!</v>
      </c>
      <c r="M20" s="52" t="e">
        <f t="shared" si="0"/>
        <v>#DIV/0!</v>
      </c>
      <c r="N20" s="158" t="s">
        <v>173</v>
      </c>
      <c r="O20" s="159"/>
      <c r="P20" s="159"/>
      <c r="Q20" s="160"/>
    </row>
    <row r="21" spans="1:17" ht="14.45" customHeight="1" x14ac:dyDescent="0.25">
      <c r="A21" s="40" t="s">
        <v>102</v>
      </c>
      <c r="B21" s="68"/>
      <c r="D21" s="82"/>
      <c r="E21" s="131"/>
      <c r="F21" s="127"/>
      <c r="G21" s="127"/>
      <c r="H21" s="128"/>
      <c r="I21" s="82"/>
      <c r="J21" s="67"/>
      <c r="K21" s="81">
        <f t="shared" si="1"/>
        <v>0</v>
      </c>
      <c r="L21" s="104" t="e">
        <f t="shared" si="2"/>
        <v>#DIV/0!</v>
      </c>
      <c r="M21" s="52" t="e">
        <f t="shared" si="0"/>
        <v>#DIV/0!</v>
      </c>
      <c r="N21" s="161" t="s">
        <v>174</v>
      </c>
      <c r="O21" s="162"/>
      <c r="P21" s="162"/>
      <c r="Q21" s="163"/>
    </row>
    <row r="22" spans="1:17" ht="14.45" customHeight="1" x14ac:dyDescent="0.2">
      <c r="A22" s="40" t="s">
        <v>101</v>
      </c>
      <c r="B22" s="68"/>
      <c r="D22" s="82"/>
      <c r="E22" s="131"/>
      <c r="F22" s="127"/>
      <c r="G22" s="127"/>
      <c r="H22" s="128"/>
      <c r="I22" s="82"/>
      <c r="J22" s="67"/>
      <c r="K22" s="81">
        <f t="shared" si="1"/>
        <v>0</v>
      </c>
      <c r="L22" s="104" t="e">
        <f t="shared" si="2"/>
        <v>#DIV/0!</v>
      </c>
      <c r="M22" s="52" t="e">
        <f t="shared" si="0"/>
        <v>#DIV/0!</v>
      </c>
      <c r="N22" s="78"/>
      <c r="O22" s="153"/>
      <c r="P22" s="153"/>
      <c r="Q22" s="165"/>
    </row>
    <row r="23" spans="1:17" ht="15" customHeight="1" thickBot="1" x14ac:dyDescent="0.25">
      <c r="A23" s="78" t="s">
        <v>159</v>
      </c>
      <c r="B23" s="68"/>
      <c r="D23" s="51"/>
      <c r="E23" s="132"/>
      <c r="F23" s="129"/>
      <c r="G23" s="129"/>
      <c r="H23" s="130"/>
      <c r="I23" s="51"/>
      <c r="J23" s="103"/>
      <c r="K23" s="83">
        <f t="shared" si="1"/>
        <v>0</v>
      </c>
      <c r="L23" s="108" t="e">
        <f t="shared" si="2"/>
        <v>#DIV/0!</v>
      </c>
      <c r="M23" s="53" t="e">
        <f t="shared" si="0"/>
        <v>#DIV/0!</v>
      </c>
      <c r="N23" s="166"/>
      <c r="O23" s="167"/>
      <c r="P23" s="167"/>
      <c r="Q23" s="168"/>
    </row>
    <row r="24" spans="1:17" x14ac:dyDescent="0.2">
      <c r="A24" s="40" t="s">
        <v>103</v>
      </c>
      <c r="B24" s="68"/>
      <c r="D24" s="112" t="s">
        <v>150</v>
      </c>
      <c r="N24" s="114"/>
      <c r="O24" s="114"/>
      <c r="P24" s="114"/>
    </row>
    <row r="25" spans="1:17" ht="14.45" customHeight="1" thickBot="1" x14ac:dyDescent="0.25">
      <c r="A25" s="40" t="s">
        <v>107</v>
      </c>
      <c r="B25" s="68"/>
      <c r="N25" s="114"/>
      <c r="O25" s="114"/>
      <c r="P25" s="114"/>
    </row>
    <row r="26" spans="1:17" ht="15.75" thickBot="1" x14ac:dyDescent="0.3">
      <c r="A26" s="122"/>
      <c r="B26" s="123"/>
      <c r="D26" s="251" t="s">
        <v>115</v>
      </c>
      <c r="E26" s="295"/>
      <c r="F26" s="295"/>
      <c r="G26" s="295"/>
      <c r="H26" s="295"/>
      <c r="I26" s="252"/>
      <c r="K26" s="237" t="s">
        <v>139</v>
      </c>
      <c r="L26" s="238"/>
      <c r="M26" s="238"/>
      <c r="N26" s="239"/>
      <c r="O26" s="114"/>
      <c r="P26" s="114"/>
    </row>
    <row r="27" spans="1:17" ht="15.75" thickBot="1" x14ac:dyDescent="0.25">
      <c r="A27" s="122"/>
      <c r="B27" s="123"/>
      <c r="D27" s="88" t="s">
        <v>160</v>
      </c>
      <c r="E27" s="306" t="s">
        <v>116</v>
      </c>
      <c r="F27" s="307"/>
      <c r="G27" s="77" t="s">
        <v>113</v>
      </c>
      <c r="H27" s="77" t="s">
        <v>117</v>
      </c>
      <c r="I27" s="89" t="s">
        <v>118</v>
      </c>
      <c r="K27" s="135" t="s">
        <v>140</v>
      </c>
      <c r="L27" s="258"/>
      <c r="M27" s="259"/>
      <c r="N27" s="260"/>
      <c r="O27" s="114"/>
      <c r="P27" s="114"/>
    </row>
    <row r="28" spans="1:17" ht="15.75" thickBot="1" x14ac:dyDescent="0.25">
      <c r="A28" s="122"/>
      <c r="B28" s="123"/>
      <c r="D28" s="169"/>
      <c r="E28" s="170"/>
      <c r="F28" s="170"/>
      <c r="G28" s="170"/>
      <c r="H28" s="170"/>
      <c r="I28" s="171"/>
      <c r="K28" s="136" t="s">
        <v>141</v>
      </c>
      <c r="L28" s="303"/>
      <c r="M28" s="304"/>
      <c r="N28" s="305"/>
      <c r="O28" s="114"/>
      <c r="P28" s="114"/>
    </row>
    <row r="29" spans="1:17" ht="15" x14ac:dyDescent="0.25">
      <c r="A29" s="40"/>
      <c r="B29" s="68"/>
      <c r="D29" s="84"/>
      <c r="E29" s="85"/>
      <c r="F29" s="85"/>
      <c r="G29" s="85"/>
      <c r="H29" s="85"/>
      <c r="I29" s="86"/>
      <c r="K29" s="298" t="s">
        <v>145</v>
      </c>
      <c r="L29" s="299"/>
      <c r="M29" s="299"/>
      <c r="N29" s="300"/>
      <c r="O29" s="114"/>
      <c r="P29" s="114"/>
    </row>
    <row r="30" spans="1:17" ht="15.75" thickBot="1" x14ac:dyDescent="0.3">
      <c r="A30" s="40"/>
      <c r="B30" s="68"/>
      <c r="D30" s="84"/>
      <c r="E30" s="85"/>
      <c r="F30" s="85"/>
      <c r="G30" s="85"/>
      <c r="H30" s="85"/>
      <c r="I30" s="86"/>
      <c r="K30" s="154" t="s">
        <v>146</v>
      </c>
      <c r="L30" s="301"/>
      <c r="M30" s="301"/>
      <c r="N30" s="302"/>
      <c r="O30" s="114"/>
      <c r="P30" s="114"/>
    </row>
    <row r="31" spans="1:17" x14ac:dyDescent="0.2">
      <c r="A31" s="40"/>
      <c r="B31" s="68"/>
      <c r="D31" s="84"/>
      <c r="E31" s="85"/>
      <c r="F31" s="85"/>
      <c r="G31" s="85"/>
      <c r="H31" s="85"/>
      <c r="I31" s="86"/>
      <c r="K31" s="282" t="s">
        <v>147</v>
      </c>
      <c r="L31" s="283"/>
      <c r="M31" s="283"/>
      <c r="N31" s="284"/>
    </row>
    <row r="32" spans="1:17" x14ac:dyDescent="0.2">
      <c r="A32" s="40"/>
      <c r="B32" s="68"/>
      <c r="D32" s="84"/>
      <c r="E32" s="85"/>
      <c r="F32" s="85"/>
      <c r="G32" s="85"/>
      <c r="H32" s="85"/>
      <c r="I32" s="86"/>
      <c r="K32" s="285"/>
      <c r="L32" s="286"/>
      <c r="M32" s="286"/>
      <c r="N32" s="287"/>
    </row>
    <row r="33" spans="1:14" x14ac:dyDescent="0.2">
      <c r="A33" s="40"/>
      <c r="B33" s="68"/>
      <c r="D33" s="84"/>
      <c r="E33" s="85"/>
      <c r="F33" s="85"/>
      <c r="G33" s="85"/>
      <c r="H33" s="85"/>
      <c r="I33" s="86"/>
      <c r="K33" s="285"/>
      <c r="L33" s="286"/>
      <c r="M33" s="286"/>
      <c r="N33" s="287"/>
    </row>
    <row r="34" spans="1:14" ht="15" thickBot="1" x14ac:dyDescent="0.25">
      <c r="A34" s="41"/>
      <c r="B34" s="69"/>
      <c r="D34" s="109"/>
      <c r="E34" s="110"/>
      <c r="F34" s="110"/>
      <c r="G34" s="110"/>
      <c r="H34" s="110"/>
      <c r="I34" s="111"/>
      <c r="K34" s="285"/>
      <c r="L34" s="286"/>
      <c r="M34" s="286"/>
      <c r="N34" s="287"/>
    </row>
    <row r="35" spans="1:14" ht="15" thickBot="1" x14ac:dyDescent="0.25">
      <c r="K35" s="285"/>
      <c r="L35" s="286"/>
      <c r="M35" s="286"/>
      <c r="N35" s="287"/>
    </row>
    <row r="36" spans="1:14" ht="15" thickBot="1" x14ac:dyDescent="0.25">
      <c r="D36" s="66"/>
      <c r="E36" s="145"/>
      <c r="F36" s="147" t="s">
        <v>167</v>
      </c>
      <c r="G36" s="150" t="s">
        <v>168</v>
      </c>
      <c r="H36" s="146" t="s">
        <v>169</v>
      </c>
      <c r="I36" s="146" t="s">
        <v>170</v>
      </c>
      <c r="K36" s="285"/>
      <c r="L36" s="286"/>
      <c r="M36" s="286"/>
      <c r="N36" s="287"/>
    </row>
    <row r="37" spans="1:14" ht="15" thickBot="1" x14ac:dyDescent="0.25">
      <c r="D37" s="291" t="s">
        <v>165</v>
      </c>
      <c r="E37" s="292"/>
      <c r="F37" s="148"/>
      <c r="G37" s="151"/>
      <c r="H37" s="118"/>
      <c r="I37" s="118"/>
      <c r="K37" s="285"/>
      <c r="L37" s="286"/>
      <c r="M37" s="286"/>
      <c r="N37" s="287"/>
    </row>
    <row r="38" spans="1:14" ht="15" customHeight="1" thickBot="1" x14ac:dyDescent="0.25">
      <c r="D38" s="293" t="s">
        <v>166</v>
      </c>
      <c r="E38" s="294"/>
      <c r="F38" s="149"/>
      <c r="G38" s="152"/>
      <c r="H38" s="69"/>
      <c r="I38" s="69"/>
      <c r="K38" s="285"/>
      <c r="L38" s="286"/>
      <c r="M38" s="286"/>
      <c r="N38" s="287"/>
    </row>
    <row r="39" spans="1:14" ht="15" thickBot="1" x14ac:dyDescent="0.25">
      <c r="K39" s="288"/>
      <c r="L39" s="289"/>
      <c r="M39" s="289"/>
      <c r="N39" s="290"/>
    </row>
  </sheetData>
  <mergeCells count="38">
    <mergeCell ref="K31:N39"/>
    <mergeCell ref="D37:E37"/>
    <mergeCell ref="D38:E38"/>
    <mergeCell ref="D26:I26"/>
    <mergeCell ref="M10:M11"/>
    <mergeCell ref="K29:N29"/>
    <mergeCell ref="L30:N30"/>
    <mergeCell ref="L28:N28"/>
    <mergeCell ref="E27:F27"/>
    <mergeCell ref="L27:N27"/>
    <mergeCell ref="N10:Q10"/>
    <mergeCell ref="B1:Q1"/>
    <mergeCell ref="N2:Q2"/>
    <mergeCell ref="O3:Q3"/>
    <mergeCell ref="O4:Q4"/>
    <mergeCell ref="O5:Q5"/>
    <mergeCell ref="E3:F3"/>
    <mergeCell ref="B4:D4"/>
    <mergeCell ref="E4:F4"/>
    <mergeCell ref="B5:D5"/>
    <mergeCell ref="E5:F5"/>
    <mergeCell ref="K2:M2"/>
    <mergeCell ref="A2:F2"/>
    <mergeCell ref="B3:D3"/>
    <mergeCell ref="K26:N26"/>
    <mergeCell ref="O7:Q7"/>
    <mergeCell ref="H8:Q8"/>
    <mergeCell ref="B8:D8"/>
    <mergeCell ref="E8:F8"/>
    <mergeCell ref="E7:F7"/>
    <mergeCell ref="A10:B11"/>
    <mergeCell ref="I10:K10"/>
    <mergeCell ref="D10:H10"/>
    <mergeCell ref="O6:Q6"/>
    <mergeCell ref="B6:D6"/>
    <mergeCell ref="E6:F6"/>
    <mergeCell ref="B7:D7"/>
    <mergeCell ref="L10:L11"/>
  </mergeCells>
  <pageMargins left="0.7" right="0.7" top="0.75" bottom="0.75" header="0.3" footer="0.3"/>
  <pageSetup scale="35" orientation="portrait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35D0-EA88-4B9E-B9E6-2EFD8BE03A60}">
  <sheetPr>
    <tabColor rgb="FFFFFF00"/>
  </sheetPr>
  <dimension ref="A1:O46"/>
  <sheetViews>
    <sheetView view="pageBreakPreview" zoomScale="90" zoomScaleNormal="100" zoomScaleSheetLayoutView="90" workbookViewId="0">
      <selection activeCell="A6" sqref="A6"/>
    </sheetView>
  </sheetViews>
  <sheetFormatPr defaultColWidth="8.85546875" defaultRowHeight="15" x14ac:dyDescent="0.25"/>
  <cols>
    <col min="1" max="1" width="25.28515625" style="25" customWidth="1"/>
    <col min="2" max="2" width="21.28515625" style="25" customWidth="1"/>
    <col min="3" max="3" width="126.28515625" style="25" customWidth="1"/>
    <col min="4" max="16384" width="8.85546875" style="25"/>
  </cols>
  <sheetData>
    <row r="1" spans="1:15" x14ac:dyDescent="0.25">
      <c r="A1" s="46"/>
      <c r="B1" s="58" t="s">
        <v>24</v>
      </c>
      <c r="C1" s="59">
        <f>'Work Order'!M4</f>
        <v>0</v>
      </c>
      <c r="D1" s="48"/>
      <c r="E1" s="2"/>
      <c r="F1" s="45"/>
      <c r="G1" s="45"/>
    </row>
    <row r="2" spans="1:15" ht="18.75" x14ac:dyDescent="0.3">
      <c r="A2" s="120" t="s">
        <v>81</v>
      </c>
      <c r="B2" s="58" t="s">
        <v>13</v>
      </c>
      <c r="C2" s="87">
        <f>'Work Order'!M6</f>
        <v>0</v>
      </c>
      <c r="D2" s="49"/>
      <c r="E2" s="2"/>
      <c r="F2" s="45"/>
      <c r="G2" s="45"/>
    </row>
    <row r="3" spans="1:15" x14ac:dyDescent="0.25">
      <c r="A3" s="46"/>
      <c r="B3" s="58" t="s">
        <v>23</v>
      </c>
      <c r="C3" s="59">
        <f>'Work Order'!R4</f>
        <v>0</v>
      </c>
      <c r="D3" s="6"/>
      <c r="E3" s="6"/>
      <c r="F3" s="6"/>
      <c r="G3" s="6"/>
    </row>
    <row r="4" spans="1:15" x14ac:dyDescent="0.25">
      <c r="A4" s="46"/>
      <c r="B4" s="58" t="s">
        <v>75</v>
      </c>
      <c r="C4" s="59" t="str">
        <f>'Work Order'!C4</f>
        <v>Lanark</v>
      </c>
      <c r="D4" s="6"/>
      <c r="E4" s="6"/>
      <c r="F4" s="6"/>
      <c r="G4" s="6"/>
    </row>
    <row r="5" spans="1:15" x14ac:dyDescent="0.25">
      <c r="A5" s="46" t="s">
        <v>72</v>
      </c>
      <c r="B5" s="46" t="s">
        <v>1</v>
      </c>
      <c r="C5" s="46" t="s">
        <v>73</v>
      </c>
      <c r="D5" s="47" t="s">
        <v>80</v>
      </c>
      <c r="M5" s="6"/>
      <c r="N5" s="6"/>
      <c r="O5" s="6"/>
    </row>
    <row r="6" spans="1:15" x14ac:dyDescent="0.25">
      <c r="A6" s="46"/>
      <c r="B6" s="121"/>
      <c r="C6" s="46"/>
      <c r="D6" s="25" t="s">
        <v>76</v>
      </c>
      <c r="M6" s="6"/>
      <c r="N6" s="6"/>
      <c r="O6" s="6"/>
    </row>
    <row r="7" spans="1:15" x14ac:dyDescent="0.25">
      <c r="A7" s="46"/>
      <c r="B7" s="46"/>
      <c r="C7" s="46"/>
      <c r="D7" s="25" t="s">
        <v>69</v>
      </c>
    </row>
    <row r="8" spans="1:15" x14ac:dyDescent="0.25">
      <c r="A8" s="46"/>
      <c r="B8" s="46"/>
      <c r="C8" s="46"/>
      <c r="D8" s="25" t="s">
        <v>74</v>
      </c>
    </row>
    <row r="9" spans="1:15" x14ac:dyDescent="0.25">
      <c r="A9" s="46"/>
      <c r="B9" s="46"/>
      <c r="C9" s="46"/>
      <c r="D9" s="50" t="s">
        <v>77</v>
      </c>
    </row>
    <row r="10" spans="1:15" x14ac:dyDescent="0.25">
      <c r="A10" s="46"/>
      <c r="B10" s="46"/>
      <c r="C10" s="46"/>
      <c r="D10" s="50" t="s">
        <v>78</v>
      </c>
    </row>
    <row r="11" spans="1:15" x14ac:dyDescent="0.25">
      <c r="A11" s="46"/>
      <c r="B11" s="46"/>
      <c r="C11" s="46"/>
      <c r="D11" s="50" t="s">
        <v>79</v>
      </c>
    </row>
    <row r="12" spans="1:15" x14ac:dyDescent="0.25">
      <c r="A12" s="46"/>
      <c r="B12" s="46"/>
      <c r="C12" s="46"/>
    </row>
    <row r="13" spans="1:15" x14ac:dyDescent="0.25">
      <c r="A13" s="46"/>
      <c r="B13" s="46"/>
      <c r="C13" s="46"/>
    </row>
    <row r="14" spans="1:15" x14ac:dyDescent="0.25">
      <c r="A14" s="46"/>
      <c r="B14" s="46"/>
      <c r="C14" s="46"/>
    </row>
    <row r="15" spans="1:15" x14ac:dyDescent="0.25">
      <c r="A15" s="46"/>
      <c r="B15" s="46"/>
      <c r="C15" s="46"/>
    </row>
    <row r="16" spans="1:15" x14ac:dyDescent="0.25">
      <c r="A16" s="46"/>
      <c r="B16" s="46"/>
      <c r="C16" s="46"/>
    </row>
    <row r="17" spans="1:3" x14ac:dyDescent="0.25">
      <c r="A17" s="46"/>
      <c r="B17" s="46"/>
      <c r="C17" s="46"/>
    </row>
    <row r="18" spans="1:3" x14ac:dyDescent="0.25">
      <c r="A18" s="46"/>
      <c r="B18" s="46"/>
      <c r="C18" s="46"/>
    </row>
    <row r="19" spans="1:3" x14ac:dyDescent="0.25">
      <c r="A19" s="46"/>
      <c r="B19" s="46"/>
      <c r="C19" s="46"/>
    </row>
    <row r="20" spans="1:3" x14ac:dyDescent="0.25">
      <c r="A20" s="46"/>
      <c r="B20" s="46"/>
      <c r="C20" s="46"/>
    </row>
    <row r="21" spans="1:3" x14ac:dyDescent="0.25">
      <c r="A21" s="46"/>
      <c r="B21" s="46"/>
      <c r="C21" s="46"/>
    </row>
    <row r="22" spans="1:3" x14ac:dyDescent="0.25">
      <c r="A22" s="46"/>
      <c r="B22" s="46"/>
      <c r="C22" s="46"/>
    </row>
    <row r="23" spans="1:3" x14ac:dyDescent="0.25">
      <c r="A23" s="46"/>
      <c r="B23" s="46"/>
      <c r="C23" s="46"/>
    </row>
    <row r="24" spans="1:3" x14ac:dyDescent="0.25">
      <c r="A24" s="46"/>
      <c r="B24" s="46"/>
      <c r="C24" s="46"/>
    </row>
    <row r="25" spans="1:3" x14ac:dyDescent="0.25">
      <c r="A25" s="46"/>
      <c r="B25" s="46"/>
      <c r="C25" s="46"/>
    </row>
    <row r="26" spans="1:3" x14ac:dyDescent="0.25">
      <c r="A26" s="46"/>
      <c r="B26" s="46"/>
      <c r="C26" s="46"/>
    </row>
    <row r="27" spans="1:3" x14ac:dyDescent="0.25">
      <c r="A27" s="46"/>
      <c r="B27" s="46"/>
      <c r="C27" s="46"/>
    </row>
    <row r="28" spans="1:3" x14ac:dyDescent="0.25">
      <c r="A28" s="46"/>
      <c r="B28" s="46"/>
      <c r="C28" s="46"/>
    </row>
    <row r="29" spans="1:3" x14ac:dyDescent="0.25">
      <c r="A29" s="46"/>
      <c r="B29" s="46"/>
      <c r="C29" s="46"/>
    </row>
    <row r="30" spans="1:3" x14ac:dyDescent="0.25">
      <c r="A30" s="46"/>
      <c r="B30" s="46"/>
      <c r="C30" s="46"/>
    </row>
    <row r="31" spans="1:3" x14ac:dyDescent="0.25">
      <c r="A31" s="46"/>
      <c r="B31" s="46"/>
      <c r="C31" s="46"/>
    </row>
    <row r="32" spans="1:3" x14ac:dyDescent="0.25">
      <c r="A32" s="46"/>
      <c r="B32" s="46"/>
      <c r="C32" s="46"/>
    </row>
    <row r="33" spans="1:3" x14ac:dyDescent="0.25">
      <c r="A33" s="46"/>
      <c r="B33" s="46"/>
      <c r="C33" s="46"/>
    </row>
    <row r="34" spans="1:3" x14ac:dyDescent="0.25">
      <c r="A34" s="46"/>
      <c r="B34" s="46"/>
      <c r="C34" s="46"/>
    </row>
    <row r="35" spans="1:3" x14ac:dyDescent="0.25">
      <c r="A35" s="46"/>
      <c r="B35" s="46"/>
      <c r="C35" s="46"/>
    </row>
    <row r="36" spans="1:3" x14ac:dyDescent="0.25">
      <c r="A36" s="46"/>
      <c r="B36" s="46"/>
      <c r="C36" s="46"/>
    </row>
    <row r="37" spans="1:3" x14ac:dyDescent="0.25">
      <c r="A37" s="46"/>
      <c r="B37" s="46"/>
      <c r="C37" s="46"/>
    </row>
    <row r="38" spans="1:3" x14ac:dyDescent="0.25">
      <c r="A38" s="46"/>
      <c r="B38" s="46"/>
      <c r="C38" s="46"/>
    </row>
    <row r="39" spans="1:3" x14ac:dyDescent="0.25">
      <c r="A39" s="46"/>
      <c r="B39" s="46"/>
      <c r="C39" s="46"/>
    </row>
    <row r="40" spans="1:3" x14ac:dyDescent="0.25">
      <c r="A40" s="46"/>
      <c r="B40" s="46"/>
      <c r="C40" s="46"/>
    </row>
    <row r="41" spans="1:3" x14ac:dyDescent="0.25">
      <c r="A41" s="46"/>
      <c r="B41" s="46"/>
      <c r="C41" s="46"/>
    </row>
    <row r="42" spans="1:3" x14ac:dyDescent="0.25">
      <c r="A42" s="46"/>
      <c r="B42" s="46"/>
      <c r="C42" s="46"/>
    </row>
    <row r="43" spans="1:3" x14ac:dyDescent="0.25">
      <c r="A43" s="46"/>
      <c r="B43" s="46"/>
      <c r="C43" s="46"/>
    </row>
    <row r="44" spans="1:3" x14ac:dyDescent="0.25">
      <c r="A44" s="46"/>
      <c r="B44" s="46"/>
      <c r="C44" s="46"/>
    </row>
    <row r="45" spans="1:3" x14ac:dyDescent="0.25">
      <c r="A45" s="46"/>
      <c r="B45" s="46"/>
      <c r="C45" s="46"/>
    </row>
    <row r="46" spans="1:3" x14ac:dyDescent="0.25">
      <c r="A46" s="46"/>
      <c r="B46" s="46"/>
      <c r="C46" s="46"/>
    </row>
  </sheetData>
  <dataValidations count="1">
    <dataValidation type="list" allowBlank="1" showInputMessage="1" showErrorMessage="1" sqref="A6:A46" xr:uid="{CF522ACE-5D66-4336-9C7B-2541BD8A7C51}">
      <formula1>$D$6:$D$11</formula1>
    </dataValidation>
  </dataValidations>
  <pageMargins left="0.7" right="0.7" top="0.75" bottom="0.75" header="0.3" footer="0.3"/>
  <pageSetup scale="52" orientation="portrait" r:id="rId1"/>
  <headerFooter>
    <oddHeader xml:space="preserve">&amp;L&amp;8&amp;F
&amp;A
&amp;Z&amp;F&amp;R&amp;G
</oddHeader>
  </headerFooter>
  <legacyDrawingHF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8D0FD-8DCE-4A3D-8596-FAAAA811BC92}">
  <sheetPr>
    <tabColor rgb="FFFFFF00"/>
  </sheetPr>
  <dimension ref="A1:K29"/>
  <sheetViews>
    <sheetView workbookViewId="0">
      <selection activeCell="L12" sqref="L12"/>
    </sheetView>
  </sheetViews>
  <sheetFormatPr defaultRowHeight="15" x14ac:dyDescent="0.25"/>
  <cols>
    <col min="1" max="1" width="2.42578125" style="25" customWidth="1"/>
    <col min="2" max="2" width="15.85546875" style="25" customWidth="1"/>
    <col min="3" max="3" width="14.140625" style="25" customWidth="1"/>
    <col min="4" max="9" width="13.5703125" style="25" customWidth="1"/>
    <col min="10" max="10" width="20.42578125" style="25" customWidth="1"/>
    <col min="11" max="11" width="2.42578125" style="25" customWidth="1"/>
    <col min="12" max="256" width="8.85546875" style="25"/>
    <col min="257" max="257" width="2.42578125" style="25" customWidth="1"/>
    <col min="258" max="258" width="15.85546875" style="25" customWidth="1"/>
    <col min="259" max="259" width="14.140625" style="25" customWidth="1"/>
    <col min="260" max="265" width="13.5703125" style="25" customWidth="1"/>
    <col min="266" max="266" width="15.85546875" style="25" customWidth="1"/>
    <col min="267" max="267" width="2.42578125" style="25" customWidth="1"/>
    <col min="268" max="512" width="8.85546875" style="25"/>
    <col min="513" max="513" width="2.42578125" style="25" customWidth="1"/>
    <col min="514" max="514" width="15.85546875" style="25" customWidth="1"/>
    <col min="515" max="515" width="14.140625" style="25" customWidth="1"/>
    <col min="516" max="521" width="13.5703125" style="25" customWidth="1"/>
    <col min="522" max="522" width="15.85546875" style="25" customWidth="1"/>
    <col min="523" max="523" width="2.42578125" style="25" customWidth="1"/>
    <col min="524" max="768" width="8.85546875" style="25"/>
    <col min="769" max="769" width="2.42578125" style="25" customWidth="1"/>
    <col min="770" max="770" width="15.85546875" style="25" customWidth="1"/>
    <col min="771" max="771" width="14.140625" style="25" customWidth="1"/>
    <col min="772" max="777" width="13.5703125" style="25" customWidth="1"/>
    <col min="778" max="778" width="15.85546875" style="25" customWidth="1"/>
    <col min="779" max="779" width="2.42578125" style="25" customWidth="1"/>
    <col min="780" max="1024" width="8.85546875" style="25"/>
    <col min="1025" max="1025" width="2.42578125" style="25" customWidth="1"/>
    <col min="1026" max="1026" width="15.85546875" style="25" customWidth="1"/>
    <col min="1027" max="1027" width="14.140625" style="25" customWidth="1"/>
    <col min="1028" max="1033" width="13.5703125" style="25" customWidth="1"/>
    <col min="1034" max="1034" width="15.85546875" style="25" customWidth="1"/>
    <col min="1035" max="1035" width="2.42578125" style="25" customWidth="1"/>
    <col min="1036" max="1280" width="8.85546875" style="25"/>
    <col min="1281" max="1281" width="2.42578125" style="25" customWidth="1"/>
    <col min="1282" max="1282" width="15.85546875" style="25" customWidth="1"/>
    <col min="1283" max="1283" width="14.140625" style="25" customWidth="1"/>
    <col min="1284" max="1289" width="13.5703125" style="25" customWidth="1"/>
    <col min="1290" max="1290" width="15.85546875" style="25" customWidth="1"/>
    <col min="1291" max="1291" width="2.42578125" style="25" customWidth="1"/>
    <col min="1292" max="1536" width="8.85546875" style="25"/>
    <col min="1537" max="1537" width="2.42578125" style="25" customWidth="1"/>
    <col min="1538" max="1538" width="15.85546875" style="25" customWidth="1"/>
    <col min="1539" max="1539" width="14.140625" style="25" customWidth="1"/>
    <col min="1540" max="1545" width="13.5703125" style="25" customWidth="1"/>
    <col min="1546" max="1546" width="15.85546875" style="25" customWidth="1"/>
    <col min="1547" max="1547" width="2.42578125" style="25" customWidth="1"/>
    <col min="1548" max="1792" width="8.85546875" style="25"/>
    <col min="1793" max="1793" width="2.42578125" style="25" customWidth="1"/>
    <col min="1794" max="1794" width="15.85546875" style="25" customWidth="1"/>
    <col min="1795" max="1795" width="14.140625" style="25" customWidth="1"/>
    <col min="1796" max="1801" width="13.5703125" style="25" customWidth="1"/>
    <col min="1802" max="1802" width="15.85546875" style="25" customWidth="1"/>
    <col min="1803" max="1803" width="2.42578125" style="25" customWidth="1"/>
    <col min="1804" max="2048" width="8.85546875" style="25"/>
    <col min="2049" max="2049" width="2.42578125" style="25" customWidth="1"/>
    <col min="2050" max="2050" width="15.85546875" style="25" customWidth="1"/>
    <col min="2051" max="2051" width="14.140625" style="25" customWidth="1"/>
    <col min="2052" max="2057" width="13.5703125" style="25" customWidth="1"/>
    <col min="2058" max="2058" width="15.85546875" style="25" customWidth="1"/>
    <col min="2059" max="2059" width="2.42578125" style="25" customWidth="1"/>
    <col min="2060" max="2304" width="8.85546875" style="25"/>
    <col min="2305" max="2305" width="2.42578125" style="25" customWidth="1"/>
    <col min="2306" max="2306" width="15.85546875" style="25" customWidth="1"/>
    <col min="2307" max="2307" width="14.140625" style="25" customWidth="1"/>
    <col min="2308" max="2313" width="13.5703125" style="25" customWidth="1"/>
    <col min="2314" max="2314" width="15.85546875" style="25" customWidth="1"/>
    <col min="2315" max="2315" width="2.42578125" style="25" customWidth="1"/>
    <col min="2316" max="2560" width="8.85546875" style="25"/>
    <col min="2561" max="2561" width="2.42578125" style="25" customWidth="1"/>
    <col min="2562" max="2562" width="15.85546875" style="25" customWidth="1"/>
    <col min="2563" max="2563" width="14.140625" style="25" customWidth="1"/>
    <col min="2564" max="2569" width="13.5703125" style="25" customWidth="1"/>
    <col min="2570" max="2570" width="15.85546875" style="25" customWidth="1"/>
    <col min="2571" max="2571" width="2.42578125" style="25" customWidth="1"/>
    <col min="2572" max="2816" width="8.85546875" style="25"/>
    <col min="2817" max="2817" width="2.42578125" style="25" customWidth="1"/>
    <col min="2818" max="2818" width="15.85546875" style="25" customWidth="1"/>
    <col min="2819" max="2819" width="14.140625" style="25" customWidth="1"/>
    <col min="2820" max="2825" width="13.5703125" style="25" customWidth="1"/>
    <col min="2826" max="2826" width="15.85546875" style="25" customWidth="1"/>
    <col min="2827" max="2827" width="2.42578125" style="25" customWidth="1"/>
    <col min="2828" max="3072" width="8.85546875" style="25"/>
    <col min="3073" max="3073" width="2.42578125" style="25" customWidth="1"/>
    <col min="3074" max="3074" width="15.85546875" style="25" customWidth="1"/>
    <col min="3075" max="3075" width="14.140625" style="25" customWidth="1"/>
    <col min="3076" max="3081" width="13.5703125" style="25" customWidth="1"/>
    <col min="3082" max="3082" width="15.85546875" style="25" customWidth="1"/>
    <col min="3083" max="3083" width="2.42578125" style="25" customWidth="1"/>
    <col min="3084" max="3328" width="8.85546875" style="25"/>
    <col min="3329" max="3329" width="2.42578125" style="25" customWidth="1"/>
    <col min="3330" max="3330" width="15.85546875" style="25" customWidth="1"/>
    <col min="3331" max="3331" width="14.140625" style="25" customWidth="1"/>
    <col min="3332" max="3337" width="13.5703125" style="25" customWidth="1"/>
    <col min="3338" max="3338" width="15.85546875" style="25" customWidth="1"/>
    <col min="3339" max="3339" width="2.42578125" style="25" customWidth="1"/>
    <col min="3340" max="3584" width="8.85546875" style="25"/>
    <col min="3585" max="3585" width="2.42578125" style="25" customWidth="1"/>
    <col min="3586" max="3586" width="15.85546875" style="25" customWidth="1"/>
    <col min="3587" max="3587" width="14.140625" style="25" customWidth="1"/>
    <col min="3588" max="3593" width="13.5703125" style="25" customWidth="1"/>
    <col min="3594" max="3594" width="15.85546875" style="25" customWidth="1"/>
    <col min="3595" max="3595" width="2.42578125" style="25" customWidth="1"/>
    <col min="3596" max="3840" width="8.85546875" style="25"/>
    <col min="3841" max="3841" width="2.42578125" style="25" customWidth="1"/>
    <col min="3842" max="3842" width="15.85546875" style="25" customWidth="1"/>
    <col min="3843" max="3843" width="14.140625" style="25" customWidth="1"/>
    <col min="3844" max="3849" width="13.5703125" style="25" customWidth="1"/>
    <col min="3850" max="3850" width="15.85546875" style="25" customWidth="1"/>
    <col min="3851" max="3851" width="2.42578125" style="25" customWidth="1"/>
    <col min="3852" max="4096" width="8.85546875" style="25"/>
    <col min="4097" max="4097" width="2.42578125" style="25" customWidth="1"/>
    <col min="4098" max="4098" width="15.85546875" style="25" customWidth="1"/>
    <col min="4099" max="4099" width="14.140625" style="25" customWidth="1"/>
    <col min="4100" max="4105" width="13.5703125" style="25" customWidth="1"/>
    <col min="4106" max="4106" width="15.85546875" style="25" customWidth="1"/>
    <col min="4107" max="4107" width="2.42578125" style="25" customWidth="1"/>
    <col min="4108" max="4352" width="8.85546875" style="25"/>
    <col min="4353" max="4353" width="2.42578125" style="25" customWidth="1"/>
    <col min="4354" max="4354" width="15.85546875" style="25" customWidth="1"/>
    <col min="4355" max="4355" width="14.140625" style="25" customWidth="1"/>
    <col min="4356" max="4361" width="13.5703125" style="25" customWidth="1"/>
    <col min="4362" max="4362" width="15.85546875" style="25" customWidth="1"/>
    <col min="4363" max="4363" width="2.42578125" style="25" customWidth="1"/>
    <col min="4364" max="4608" width="8.85546875" style="25"/>
    <col min="4609" max="4609" width="2.42578125" style="25" customWidth="1"/>
    <col min="4610" max="4610" width="15.85546875" style="25" customWidth="1"/>
    <col min="4611" max="4611" width="14.140625" style="25" customWidth="1"/>
    <col min="4612" max="4617" width="13.5703125" style="25" customWidth="1"/>
    <col min="4618" max="4618" width="15.85546875" style="25" customWidth="1"/>
    <col min="4619" max="4619" width="2.42578125" style="25" customWidth="1"/>
    <col min="4620" max="4864" width="8.85546875" style="25"/>
    <col min="4865" max="4865" width="2.42578125" style="25" customWidth="1"/>
    <col min="4866" max="4866" width="15.85546875" style="25" customWidth="1"/>
    <col min="4867" max="4867" width="14.140625" style="25" customWidth="1"/>
    <col min="4868" max="4873" width="13.5703125" style="25" customWidth="1"/>
    <col min="4874" max="4874" width="15.85546875" style="25" customWidth="1"/>
    <col min="4875" max="4875" width="2.42578125" style="25" customWidth="1"/>
    <col min="4876" max="5120" width="8.85546875" style="25"/>
    <col min="5121" max="5121" width="2.42578125" style="25" customWidth="1"/>
    <col min="5122" max="5122" width="15.85546875" style="25" customWidth="1"/>
    <col min="5123" max="5123" width="14.140625" style="25" customWidth="1"/>
    <col min="5124" max="5129" width="13.5703125" style="25" customWidth="1"/>
    <col min="5130" max="5130" width="15.85546875" style="25" customWidth="1"/>
    <col min="5131" max="5131" width="2.42578125" style="25" customWidth="1"/>
    <col min="5132" max="5376" width="8.85546875" style="25"/>
    <col min="5377" max="5377" width="2.42578125" style="25" customWidth="1"/>
    <col min="5378" max="5378" width="15.85546875" style="25" customWidth="1"/>
    <col min="5379" max="5379" width="14.140625" style="25" customWidth="1"/>
    <col min="5380" max="5385" width="13.5703125" style="25" customWidth="1"/>
    <col min="5386" max="5386" width="15.85546875" style="25" customWidth="1"/>
    <col min="5387" max="5387" width="2.42578125" style="25" customWidth="1"/>
    <col min="5388" max="5632" width="8.85546875" style="25"/>
    <col min="5633" max="5633" width="2.42578125" style="25" customWidth="1"/>
    <col min="5634" max="5634" width="15.85546875" style="25" customWidth="1"/>
    <col min="5635" max="5635" width="14.140625" style="25" customWidth="1"/>
    <col min="5636" max="5641" width="13.5703125" style="25" customWidth="1"/>
    <col min="5642" max="5642" width="15.85546875" style="25" customWidth="1"/>
    <col min="5643" max="5643" width="2.42578125" style="25" customWidth="1"/>
    <col min="5644" max="5888" width="8.85546875" style="25"/>
    <col min="5889" max="5889" width="2.42578125" style="25" customWidth="1"/>
    <col min="5890" max="5890" width="15.85546875" style="25" customWidth="1"/>
    <col min="5891" max="5891" width="14.140625" style="25" customWidth="1"/>
    <col min="5892" max="5897" width="13.5703125" style="25" customWidth="1"/>
    <col min="5898" max="5898" width="15.85546875" style="25" customWidth="1"/>
    <col min="5899" max="5899" width="2.42578125" style="25" customWidth="1"/>
    <col min="5900" max="6144" width="8.85546875" style="25"/>
    <col min="6145" max="6145" width="2.42578125" style="25" customWidth="1"/>
    <col min="6146" max="6146" width="15.85546875" style="25" customWidth="1"/>
    <col min="6147" max="6147" width="14.140625" style="25" customWidth="1"/>
    <col min="6148" max="6153" width="13.5703125" style="25" customWidth="1"/>
    <col min="6154" max="6154" width="15.85546875" style="25" customWidth="1"/>
    <col min="6155" max="6155" width="2.42578125" style="25" customWidth="1"/>
    <col min="6156" max="6400" width="8.85546875" style="25"/>
    <col min="6401" max="6401" width="2.42578125" style="25" customWidth="1"/>
    <col min="6402" max="6402" width="15.85546875" style="25" customWidth="1"/>
    <col min="6403" max="6403" width="14.140625" style="25" customWidth="1"/>
    <col min="6404" max="6409" width="13.5703125" style="25" customWidth="1"/>
    <col min="6410" max="6410" width="15.85546875" style="25" customWidth="1"/>
    <col min="6411" max="6411" width="2.42578125" style="25" customWidth="1"/>
    <col min="6412" max="6656" width="8.85546875" style="25"/>
    <col min="6657" max="6657" width="2.42578125" style="25" customWidth="1"/>
    <col min="6658" max="6658" width="15.85546875" style="25" customWidth="1"/>
    <col min="6659" max="6659" width="14.140625" style="25" customWidth="1"/>
    <col min="6660" max="6665" width="13.5703125" style="25" customWidth="1"/>
    <col min="6666" max="6666" width="15.85546875" style="25" customWidth="1"/>
    <col min="6667" max="6667" width="2.42578125" style="25" customWidth="1"/>
    <col min="6668" max="6912" width="8.85546875" style="25"/>
    <col min="6913" max="6913" width="2.42578125" style="25" customWidth="1"/>
    <col min="6914" max="6914" width="15.85546875" style="25" customWidth="1"/>
    <col min="6915" max="6915" width="14.140625" style="25" customWidth="1"/>
    <col min="6916" max="6921" width="13.5703125" style="25" customWidth="1"/>
    <col min="6922" max="6922" width="15.85546875" style="25" customWidth="1"/>
    <col min="6923" max="6923" width="2.42578125" style="25" customWidth="1"/>
    <col min="6924" max="7168" width="8.85546875" style="25"/>
    <col min="7169" max="7169" width="2.42578125" style="25" customWidth="1"/>
    <col min="7170" max="7170" width="15.85546875" style="25" customWidth="1"/>
    <col min="7171" max="7171" width="14.140625" style="25" customWidth="1"/>
    <col min="7172" max="7177" width="13.5703125" style="25" customWidth="1"/>
    <col min="7178" max="7178" width="15.85546875" style="25" customWidth="1"/>
    <col min="7179" max="7179" width="2.42578125" style="25" customWidth="1"/>
    <col min="7180" max="7424" width="8.85546875" style="25"/>
    <col min="7425" max="7425" width="2.42578125" style="25" customWidth="1"/>
    <col min="7426" max="7426" width="15.85546875" style="25" customWidth="1"/>
    <col min="7427" max="7427" width="14.140625" style="25" customWidth="1"/>
    <col min="7428" max="7433" width="13.5703125" style="25" customWidth="1"/>
    <col min="7434" max="7434" width="15.85546875" style="25" customWidth="1"/>
    <col min="7435" max="7435" width="2.42578125" style="25" customWidth="1"/>
    <col min="7436" max="7680" width="8.85546875" style="25"/>
    <col min="7681" max="7681" width="2.42578125" style="25" customWidth="1"/>
    <col min="7682" max="7682" width="15.85546875" style="25" customWidth="1"/>
    <col min="7683" max="7683" width="14.140625" style="25" customWidth="1"/>
    <col min="7684" max="7689" width="13.5703125" style="25" customWidth="1"/>
    <col min="7690" max="7690" width="15.85546875" style="25" customWidth="1"/>
    <col min="7691" max="7691" width="2.42578125" style="25" customWidth="1"/>
    <col min="7692" max="7936" width="8.85546875" style="25"/>
    <col min="7937" max="7937" width="2.42578125" style="25" customWidth="1"/>
    <col min="7938" max="7938" width="15.85546875" style="25" customWidth="1"/>
    <col min="7939" max="7939" width="14.140625" style="25" customWidth="1"/>
    <col min="7940" max="7945" width="13.5703125" style="25" customWidth="1"/>
    <col min="7946" max="7946" width="15.85546875" style="25" customWidth="1"/>
    <col min="7947" max="7947" width="2.42578125" style="25" customWidth="1"/>
    <col min="7948" max="8192" width="8.85546875" style="25"/>
    <col min="8193" max="8193" width="2.42578125" style="25" customWidth="1"/>
    <col min="8194" max="8194" width="15.85546875" style="25" customWidth="1"/>
    <col min="8195" max="8195" width="14.140625" style="25" customWidth="1"/>
    <col min="8196" max="8201" width="13.5703125" style="25" customWidth="1"/>
    <col min="8202" max="8202" width="15.85546875" style="25" customWidth="1"/>
    <col min="8203" max="8203" width="2.42578125" style="25" customWidth="1"/>
    <col min="8204" max="8448" width="8.85546875" style="25"/>
    <col min="8449" max="8449" width="2.42578125" style="25" customWidth="1"/>
    <col min="8450" max="8450" width="15.85546875" style="25" customWidth="1"/>
    <col min="8451" max="8451" width="14.140625" style="25" customWidth="1"/>
    <col min="8452" max="8457" width="13.5703125" style="25" customWidth="1"/>
    <col min="8458" max="8458" width="15.85546875" style="25" customWidth="1"/>
    <col min="8459" max="8459" width="2.42578125" style="25" customWidth="1"/>
    <col min="8460" max="8704" width="8.85546875" style="25"/>
    <col min="8705" max="8705" width="2.42578125" style="25" customWidth="1"/>
    <col min="8706" max="8706" width="15.85546875" style="25" customWidth="1"/>
    <col min="8707" max="8707" width="14.140625" style="25" customWidth="1"/>
    <col min="8708" max="8713" width="13.5703125" style="25" customWidth="1"/>
    <col min="8714" max="8714" width="15.85546875" style="25" customWidth="1"/>
    <col min="8715" max="8715" width="2.42578125" style="25" customWidth="1"/>
    <col min="8716" max="8960" width="8.85546875" style="25"/>
    <col min="8961" max="8961" width="2.42578125" style="25" customWidth="1"/>
    <col min="8962" max="8962" width="15.85546875" style="25" customWidth="1"/>
    <col min="8963" max="8963" width="14.140625" style="25" customWidth="1"/>
    <col min="8964" max="8969" width="13.5703125" style="25" customWidth="1"/>
    <col min="8970" max="8970" width="15.85546875" style="25" customWidth="1"/>
    <col min="8971" max="8971" width="2.42578125" style="25" customWidth="1"/>
    <col min="8972" max="9216" width="8.85546875" style="25"/>
    <col min="9217" max="9217" width="2.42578125" style="25" customWidth="1"/>
    <col min="9218" max="9218" width="15.85546875" style="25" customWidth="1"/>
    <col min="9219" max="9219" width="14.140625" style="25" customWidth="1"/>
    <col min="9220" max="9225" width="13.5703125" style="25" customWidth="1"/>
    <col min="9226" max="9226" width="15.85546875" style="25" customWidth="1"/>
    <col min="9227" max="9227" width="2.42578125" style="25" customWidth="1"/>
    <col min="9228" max="9472" width="8.85546875" style="25"/>
    <col min="9473" max="9473" width="2.42578125" style="25" customWidth="1"/>
    <col min="9474" max="9474" width="15.85546875" style="25" customWidth="1"/>
    <col min="9475" max="9475" width="14.140625" style="25" customWidth="1"/>
    <col min="9476" max="9481" width="13.5703125" style="25" customWidth="1"/>
    <col min="9482" max="9482" width="15.85546875" style="25" customWidth="1"/>
    <col min="9483" max="9483" width="2.42578125" style="25" customWidth="1"/>
    <col min="9484" max="9728" width="8.85546875" style="25"/>
    <col min="9729" max="9729" width="2.42578125" style="25" customWidth="1"/>
    <col min="9730" max="9730" width="15.85546875" style="25" customWidth="1"/>
    <col min="9731" max="9731" width="14.140625" style="25" customWidth="1"/>
    <col min="9732" max="9737" width="13.5703125" style="25" customWidth="1"/>
    <col min="9738" max="9738" width="15.85546875" style="25" customWidth="1"/>
    <col min="9739" max="9739" width="2.42578125" style="25" customWidth="1"/>
    <col min="9740" max="9984" width="8.85546875" style="25"/>
    <col min="9985" max="9985" width="2.42578125" style="25" customWidth="1"/>
    <col min="9986" max="9986" width="15.85546875" style="25" customWidth="1"/>
    <col min="9987" max="9987" width="14.140625" style="25" customWidth="1"/>
    <col min="9988" max="9993" width="13.5703125" style="25" customWidth="1"/>
    <col min="9994" max="9994" width="15.85546875" style="25" customWidth="1"/>
    <col min="9995" max="9995" width="2.42578125" style="25" customWidth="1"/>
    <col min="9996" max="10240" width="8.85546875" style="25"/>
    <col min="10241" max="10241" width="2.42578125" style="25" customWidth="1"/>
    <col min="10242" max="10242" width="15.85546875" style="25" customWidth="1"/>
    <col min="10243" max="10243" width="14.140625" style="25" customWidth="1"/>
    <col min="10244" max="10249" width="13.5703125" style="25" customWidth="1"/>
    <col min="10250" max="10250" width="15.85546875" style="25" customWidth="1"/>
    <col min="10251" max="10251" width="2.42578125" style="25" customWidth="1"/>
    <col min="10252" max="10496" width="8.85546875" style="25"/>
    <col min="10497" max="10497" width="2.42578125" style="25" customWidth="1"/>
    <col min="10498" max="10498" width="15.85546875" style="25" customWidth="1"/>
    <col min="10499" max="10499" width="14.140625" style="25" customWidth="1"/>
    <col min="10500" max="10505" width="13.5703125" style="25" customWidth="1"/>
    <col min="10506" max="10506" width="15.85546875" style="25" customWidth="1"/>
    <col min="10507" max="10507" width="2.42578125" style="25" customWidth="1"/>
    <col min="10508" max="10752" width="8.85546875" style="25"/>
    <col min="10753" max="10753" width="2.42578125" style="25" customWidth="1"/>
    <col min="10754" max="10754" width="15.85546875" style="25" customWidth="1"/>
    <col min="10755" max="10755" width="14.140625" style="25" customWidth="1"/>
    <col min="10756" max="10761" width="13.5703125" style="25" customWidth="1"/>
    <col min="10762" max="10762" width="15.85546875" style="25" customWidth="1"/>
    <col min="10763" max="10763" width="2.42578125" style="25" customWidth="1"/>
    <col min="10764" max="11008" width="8.85546875" style="25"/>
    <col min="11009" max="11009" width="2.42578125" style="25" customWidth="1"/>
    <col min="11010" max="11010" width="15.85546875" style="25" customWidth="1"/>
    <col min="11011" max="11011" width="14.140625" style="25" customWidth="1"/>
    <col min="11012" max="11017" width="13.5703125" style="25" customWidth="1"/>
    <col min="11018" max="11018" width="15.85546875" style="25" customWidth="1"/>
    <col min="11019" max="11019" width="2.42578125" style="25" customWidth="1"/>
    <col min="11020" max="11264" width="8.85546875" style="25"/>
    <col min="11265" max="11265" width="2.42578125" style="25" customWidth="1"/>
    <col min="11266" max="11266" width="15.85546875" style="25" customWidth="1"/>
    <col min="11267" max="11267" width="14.140625" style="25" customWidth="1"/>
    <col min="11268" max="11273" width="13.5703125" style="25" customWidth="1"/>
    <col min="11274" max="11274" width="15.85546875" style="25" customWidth="1"/>
    <col min="11275" max="11275" width="2.42578125" style="25" customWidth="1"/>
    <col min="11276" max="11520" width="8.85546875" style="25"/>
    <col min="11521" max="11521" width="2.42578125" style="25" customWidth="1"/>
    <col min="11522" max="11522" width="15.85546875" style="25" customWidth="1"/>
    <col min="11523" max="11523" width="14.140625" style="25" customWidth="1"/>
    <col min="11524" max="11529" width="13.5703125" style="25" customWidth="1"/>
    <col min="11530" max="11530" width="15.85546875" style="25" customWidth="1"/>
    <col min="11531" max="11531" width="2.42578125" style="25" customWidth="1"/>
    <col min="11532" max="11776" width="8.85546875" style="25"/>
    <col min="11777" max="11777" width="2.42578125" style="25" customWidth="1"/>
    <col min="11778" max="11778" width="15.85546875" style="25" customWidth="1"/>
    <col min="11779" max="11779" width="14.140625" style="25" customWidth="1"/>
    <col min="11780" max="11785" width="13.5703125" style="25" customWidth="1"/>
    <col min="11786" max="11786" width="15.85546875" style="25" customWidth="1"/>
    <col min="11787" max="11787" width="2.42578125" style="25" customWidth="1"/>
    <col min="11788" max="12032" width="8.85546875" style="25"/>
    <col min="12033" max="12033" width="2.42578125" style="25" customWidth="1"/>
    <col min="12034" max="12034" width="15.85546875" style="25" customWidth="1"/>
    <col min="12035" max="12035" width="14.140625" style="25" customWidth="1"/>
    <col min="12036" max="12041" width="13.5703125" style="25" customWidth="1"/>
    <col min="12042" max="12042" width="15.85546875" style="25" customWidth="1"/>
    <col min="12043" max="12043" width="2.42578125" style="25" customWidth="1"/>
    <col min="12044" max="12288" width="8.85546875" style="25"/>
    <col min="12289" max="12289" width="2.42578125" style="25" customWidth="1"/>
    <col min="12290" max="12290" width="15.85546875" style="25" customWidth="1"/>
    <col min="12291" max="12291" width="14.140625" style="25" customWidth="1"/>
    <col min="12292" max="12297" width="13.5703125" style="25" customWidth="1"/>
    <col min="12298" max="12298" width="15.85546875" style="25" customWidth="1"/>
    <col min="12299" max="12299" width="2.42578125" style="25" customWidth="1"/>
    <col min="12300" max="12544" width="8.85546875" style="25"/>
    <col min="12545" max="12545" width="2.42578125" style="25" customWidth="1"/>
    <col min="12546" max="12546" width="15.85546875" style="25" customWidth="1"/>
    <col min="12547" max="12547" width="14.140625" style="25" customWidth="1"/>
    <col min="12548" max="12553" width="13.5703125" style="25" customWidth="1"/>
    <col min="12554" max="12554" width="15.85546875" style="25" customWidth="1"/>
    <col min="12555" max="12555" width="2.42578125" style="25" customWidth="1"/>
    <col min="12556" max="12800" width="8.85546875" style="25"/>
    <col min="12801" max="12801" width="2.42578125" style="25" customWidth="1"/>
    <col min="12802" max="12802" width="15.85546875" style="25" customWidth="1"/>
    <col min="12803" max="12803" width="14.140625" style="25" customWidth="1"/>
    <col min="12804" max="12809" width="13.5703125" style="25" customWidth="1"/>
    <col min="12810" max="12810" width="15.85546875" style="25" customWidth="1"/>
    <col min="12811" max="12811" width="2.42578125" style="25" customWidth="1"/>
    <col min="12812" max="13056" width="8.85546875" style="25"/>
    <col min="13057" max="13057" width="2.42578125" style="25" customWidth="1"/>
    <col min="13058" max="13058" width="15.85546875" style="25" customWidth="1"/>
    <col min="13059" max="13059" width="14.140625" style="25" customWidth="1"/>
    <col min="13060" max="13065" width="13.5703125" style="25" customWidth="1"/>
    <col min="13066" max="13066" width="15.85546875" style="25" customWidth="1"/>
    <col min="13067" max="13067" width="2.42578125" style="25" customWidth="1"/>
    <col min="13068" max="13312" width="8.85546875" style="25"/>
    <col min="13313" max="13313" width="2.42578125" style="25" customWidth="1"/>
    <col min="13314" max="13314" width="15.85546875" style="25" customWidth="1"/>
    <col min="13315" max="13315" width="14.140625" style="25" customWidth="1"/>
    <col min="13316" max="13321" width="13.5703125" style="25" customWidth="1"/>
    <col min="13322" max="13322" width="15.85546875" style="25" customWidth="1"/>
    <col min="13323" max="13323" width="2.42578125" style="25" customWidth="1"/>
    <col min="13324" max="13568" width="8.85546875" style="25"/>
    <col min="13569" max="13569" width="2.42578125" style="25" customWidth="1"/>
    <col min="13570" max="13570" width="15.85546875" style="25" customWidth="1"/>
    <col min="13571" max="13571" width="14.140625" style="25" customWidth="1"/>
    <col min="13572" max="13577" width="13.5703125" style="25" customWidth="1"/>
    <col min="13578" max="13578" width="15.85546875" style="25" customWidth="1"/>
    <col min="13579" max="13579" width="2.42578125" style="25" customWidth="1"/>
    <col min="13580" max="13824" width="8.85546875" style="25"/>
    <col min="13825" max="13825" width="2.42578125" style="25" customWidth="1"/>
    <col min="13826" max="13826" width="15.85546875" style="25" customWidth="1"/>
    <col min="13827" max="13827" width="14.140625" style="25" customWidth="1"/>
    <col min="13828" max="13833" width="13.5703125" style="25" customWidth="1"/>
    <col min="13834" max="13834" width="15.85546875" style="25" customWidth="1"/>
    <col min="13835" max="13835" width="2.42578125" style="25" customWidth="1"/>
    <col min="13836" max="14080" width="8.85546875" style="25"/>
    <col min="14081" max="14081" width="2.42578125" style="25" customWidth="1"/>
    <col min="14082" max="14082" width="15.85546875" style="25" customWidth="1"/>
    <col min="14083" max="14083" width="14.140625" style="25" customWidth="1"/>
    <col min="14084" max="14089" width="13.5703125" style="25" customWidth="1"/>
    <col min="14090" max="14090" width="15.85546875" style="25" customWidth="1"/>
    <col min="14091" max="14091" width="2.42578125" style="25" customWidth="1"/>
    <col min="14092" max="14336" width="8.85546875" style="25"/>
    <col min="14337" max="14337" width="2.42578125" style="25" customWidth="1"/>
    <col min="14338" max="14338" width="15.85546875" style="25" customWidth="1"/>
    <col min="14339" max="14339" width="14.140625" style="25" customWidth="1"/>
    <col min="14340" max="14345" width="13.5703125" style="25" customWidth="1"/>
    <col min="14346" max="14346" width="15.85546875" style="25" customWidth="1"/>
    <col min="14347" max="14347" width="2.42578125" style="25" customWidth="1"/>
    <col min="14348" max="14592" width="8.85546875" style="25"/>
    <col min="14593" max="14593" width="2.42578125" style="25" customWidth="1"/>
    <col min="14594" max="14594" width="15.85546875" style="25" customWidth="1"/>
    <col min="14595" max="14595" width="14.140625" style="25" customWidth="1"/>
    <col min="14596" max="14601" width="13.5703125" style="25" customWidth="1"/>
    <col min="14602" max="14602" width="15.85546875" style="25" customWidth="1"/>
    <col min="14603" max="14603" width="2.42578125" style="25" customWidth="1"/>
    <col min="14604" max="14848" width="8.85546875" style="25"/>
    <col min="14849" max="14849" width="2.42578125" style="25" customWidth="1"/>
    <col min="14850" max="14850" width="15.85546875" style="25" customWidth="1"/>
    <col min="14851" max="14851" width="14.140625" style="25" customWidth="1"/>
    <col min="14852" max="14857" width="13.5703125" style="25" customWidth="1"/>
    <col min="14858" max="14858" width="15.85546875" style="25" customWidth="1"/>
    <col min="14859" max="14859" width="2.42578125" style="25" customWidth="1"/>
    <col min="14860" max="15104" width="8.85546875" style="25"/>
    <col min="15105" max="15105" width="2.42578125" style="25" customWidth="1"/>
    <col min="15106" max="15106" width="15.85546875" style="25" customWidth="1"/>
    <col min="15107" max="15107" width="14.140625" style="25" customWidth="1"/>
    <col min="15108" max="15113" width="13.5703125" style="25" customWidth="1"/>
    <col min="15114" max="15114" width="15.85546875" style="25" customWidth="1"/>
    <col min="15115" max="15115" width="2.42578125" style="25" customWidth="1"/>
    <col min="15116" max="15360" width="8.85546875" style="25"/>
    <col min="15361" max="15361" width="2.42578125" style="25" customWidth="1"/>
    <col min="15362" max="15362" width="15.85546875" style="25" customWidth="1"/>
    <col min="15363" max="15363" width="14.140625" style="25" customWidth="1"/>
    <col min="15364" max="15369" width="13.5703125" style="25" customWidth="1"/>
    <col min="15370" max="15370" width="15.85546875" style="25" customWidth="1"/>
    <col min="15371" max="15371" width="2.42578125" style="25" customWidth="1"/>
    <col min="15372" max="15616" width="8.85546875" style="25"/>
    <col min="15617" max="15617" width="2.42578125" style="25" customWidth="1"/>
    <col min="15618" max="15618" width="15.85546875" style="25" customWidth="1"/>
    <col min="15619" max="15619" width="14.140625" style="25" customWidth="1"/>
    <col min="15620" max="15625" width="13.5703125" style="25" customWidth="1"/>
    <col min="15626" max="15626" width="15.85546875" style="25" customWidth="1"/>
    <col min="15627" max="15627" width="2.42578125" style="25" customWidth="1"/>
    <col min="15628" max="15872" width="8.85546875" style="25"/>
    <col min="15873" max="15873" width="2.42578125" style="25" customWidth="1"/>
    <col min="15874" max="15874" width="15.85546875" style="25" customWidth="1"/>
    <col min="15875" max="15875" width="14.140625" style="25" customWidth="1"/>
    <col min="15876" max="15881" width="13.5703125" style="25" customWidth="1"/>
    <col min="15882" max="15882" width="15.85546875" style="25" customWidth="1"/>
    <col min="15883" max="15883" width="2.42578125" style="25" customWidth="1"/>
    <col min="15884" max="16128" width="8.85546875" style="25"/>
    <col min="16129" max="16129" width="2.42578125" style="25" customWidth="1"/>
    <col min="16130" max="16130" width="15.85546875" style="25" customWidth="1"/>
    <col min="16131" max="16131" width="14.140625" style="25" customWidth="1"/>
    <col min="16132" max="16137" width="13.5703125" style="25" customWidth="1"/>
    <col min="16138" max="16138" width="15.85546875" style="25" customWidth="1"/>
    <col min="16139" max="16139" width="2.42578125" style="25" customWidth="1"/>
    <col min="16140" max="16384" width="8.85546875" style="25"/>
  </cols>
  <sheetData>
    <row r="1" spans="1:11" x14ac:dyDescent="0.25">
      <c r="A1" s="308"/>
      <c r="B1" s="308"/>
      <c r="C1" s="308"/>
      <c r="D1" s="308"/>
      <c r="E1" s="308"/>
      <c r="F1" s="308"/>
      <c r="G1" s="308"/>
      <c r="H1" s="308"/>
      <c r="I1" s="308"/>
      <c r="J1" s="308"/>
      <c r="K1" s="308"/>
    </row>
    <row r="2" spans="1:11" ht="26.1" customHeight="1" x14ac:dyDescent="0.25">
      <c r="A2" s="308" t="s">
        <v>5</v>
      </c>
      <c r="C2" s="309"/>
      <c r="D2" s="309"/>
      <c r="E2" s="309"/>
      <c r="F2" s="309"/>
      <c r="G2" s="309"/>
      <c r="H2" s="309"/>
      <c r="I2" s="309"/>
      <c r="J2" s="26"/>
      <c r="K2" s="308"/>
    </row>
    <row r="3" spans="1:11" ht="21" thickBot="1" x14ac:dyDescent="0.3">
      <c r="A3" s="308"/>
      <c r="B3" s="310" t="s">
        <v>29</v>
      </c>
      <c r="C3" s="310"/>
      <c r="D3" s="310"/>
      <c r="E3" s="310"/>
      <c r="F3" s="310"/>
      <c r="G3" s="310"/>
      <c r="H3" s="310"/>
      <c r="I3" s="310"/>
      <c r="J3" s="310"/>
      <c r="K3" s="308"/>
    </row>
    <row r="4" spans="1:11" ht="15.75" thickBot="1" x14ac:dyDescent="0.3">
      <c r="A4" s="308"/>
      <c r="B4" s="311"/>
      <c r="C4" s="311"/>
      <c r="D4" s="311"/>
      <c r="E4" s="311"/>
      <c r="F4" s="311"/>
      <c r="G4" s="311"/>
      <c r="H4" s="311"/>
      <c r="I4" s="311"/>
      <c r="J4" s="311"/>
      <c r="K4" s="308"/>
    </row>
    <row r="5" spans="1:11" ht="15.75" thickBot="1" x14ac:dyDescent="0.3">
      <c r="A5" s="308"/>
      <c r="B5" s="27" t="s">
        <v>30</v>
      </c>
      <c r="C5" s="312">
        <f>'Work Order'!C3:D3</f>
        <v>0</v>
      </c>
      <c r="D5" s="313"/>
      <c r="E5" s="314" t="s">
        <v>31</v>
      </c>
      <c r="F5" s="314"/>
      <c r="G5" s="314"/>
      <c r="H5" s="314"/>
      <c r="I5" s="27" t="s">
        <v>32</v>
      </c>
      <c r="J5" s="28"/>
      <c r="K5" s="308"/>
    </row>
    <row r="6" spans="1:11" ht="15.75" thickBot="1" x14ac:dyDescent="0.3">
      <c r="A6" s="308"/>
      <c r="B6" s="315"/>
      <c r="C6" s="315"/>
      <c r="D6" s="315"/>
      <c r="E6" s="315"/>
      <c r="F6" s="315"/>
      <c r="G6" s="315"/>
      <c r="H6" s="315"/>
      <c r="I6" s="315"/>
      <c r="J6" s="315"/>
      <c r="K6" s="308"/>
    </row>
    <row r="7" spans="1:11" ht="3.6" customHeight="1" x14ac:dyDescent="0.25">
      <c r="A7" s="308"/>
      <c r="B7" s="311"/>
      <c r="C7" s="311"/>
      <c r="D7" s="311"/>
      <c r="E7" s="311"/>
      <c r="F7" s="311"/>
      <c r="G7" s="311"/>
      <c r="H7" s="311"/>
      <c r="I7" s="311"/>
      <c r="J7" s="311"/>
      <c r="K7" s="308"/>
    </row>
    <row r="8" spans="1:11" ht="25.5" customHeight="1" x14ac:dyDescent="0.25">
      <c r="A8" s="308"/>
      <c r="B8" s="322" t="s">
        <v>33</v>
      </c>
      <c r="C8" s="322"/>
      <c r="D8" s="322"/>
      <c r="E8" s="322"/>
      <c r="F8" s="322"/>
      <c r="G8" s="322"/>
      <c r="H8" s="322"/>
      <c r="I8" s="322"/>
      <c r="J8" s="322"/>
      <c r="K8" s="308"/>
    </row>
    <row r="9" spans="1:11" ht="15.75" thickBot="1" x14ac:dyDescent="0.3">
      <c r="A9" s="308"/>
      <c r="B9" s="323"/>
      <c r="C9" s="323"/>
      <c r="D9" s="323"/>
      <c r="E9" s="323"/>
      <c r="F9" s="323"/>
      <c r="G9" s="323"/>
      <c r="H9" s="323"/>
      <c r="I9" s="323"/>
      <c r="J9" s="323"/>
      <c r="K9" s="308"/>
    </row>
    <row r="10" spans="1:11" ht="24.6" customHeight="1" thickBot="1" x14ac:dyDescent="0.3">
      <c r="A10" s="308"/>
      <c r="B10" s="29"/>
      <c r="C10" s="324" t="s">
        <v>34</v>
      </c>
      <c r="D10" s="324"/>
      <c r="E10" s="324"/>
      <c r="F10" s="324"/>
      <c r="G10" s="324"/>
      <c r="H10" s="324"/>
      <c r="I10" s="324"/>
      <c r="J10" s="324"/>
      <c r="K10" s="308"/>
    </row>
    <row r="11" spans="1:11" ht="24.6" customHeight="1" thickBot="1" x14ac:dyDescent="0.3">
      <c r="A11" s="308"/>
      <c r="B11" s="29"/>
      <c r="C11" s="324" t="s">
        <v>35</v>
      </c>
      <c r="D11" s="324"/>
      <c r="E11" s="324"/>
      <c r="F11" s="324"/>
      <c r="G11" s="324"/>
      <c r="H11" s="324"/>
      <c r="I11" s="324"/>
      <c r="J11" s="324"/>
      <c r="K11" s="308"/>
    </row>
    <row r="12" spans="1:11" ht="21.95" customHeight="1" x14ac:dyDescent="0.25">
      <c r="A12" s="308"/>
      <c r="B12" s="325" t="s">
        <v>36</v>
      </c>
      <c r="C12" s="325"/>
      <c r="D12" s="325"/>
      <c r="E12" s="325"/>
      <c r="F12" s="325"/>
      <c r="G12" s="325"/>
      <c r="H12" s="325"/>
      <c r="I12" s="325"/>
      <c r="J12" s="325"/>
      <c r="K12" s="308"/>
    </row>
    <row r="13" spans="1:11" ht="60" customHeight="1" x14ac:dyDescent="0.25">
      <c r="A13" s="308"/>
      <c r="B13" s="326"/>
      <c r="C13" s="327"/>
      <c r="D13" s="327"/>
      <c r="E13" s="327"/>
      <c r="F13" s="327"/>
      <c r="G13" s="327"/>
      <c r="H13" s="327"/>
      <c r="I13" s="327"/>
      <c r="J13" s="328"/>
      <c r="K13" s="308"/>
    </row>
    <row r="14" spans="1:11" ht="17.45" customHeight="1" x14ac:dyDescent="0.25">
      <c r="A14" s="308"/>
      <c r="B14" s="329" t="s">
        <v>37</v>
      </c>
      <c r="C14" s="329"/>
      <c r="D14" s="329"/>
      <c r="E14" s="329"/>
      <c r="F14" s="329"/>
      <c r="G14" s="329"/>
      <c r="H14" s="329"/>
      <c r="I14" s="329"/>
      <c r="J14" s="329"/>
      <c r="K14" s="308"/>
    </row>
    <row r="15" spans="1:11" ht="27.95" customHeight="1" x14ac:dyDescent="0.25">
      <c r="A15" s="308"/>
      <c r="B15" s="326"/>
      <c r="C15" s="327"/>
      <c r="D15" s="327"/>
      <c r="E15" s="327"/>
      <c r="F15" s="327"/>
      <c r="G15" s="327"/>
      <c r="H15" s="327"/>
      <c r="I15" s="327"/>
      <c r="J15" s="328"/>
      <c r="K15" s="308"/>
    </row>
    <row r="16" spans="1:11" ht="14.45" customHeight="1" x14ac:dyDescent="0.25">
      <c r="A16" s="308"/>
      <c r="B16" s="329" t="s">
        <v>38</v>
      </c>
      <c r="C16" s="329"/>
      <c r="D16" s="329"/>
      <c r="E16" s="329"/>
      <c r="F16" s="329"/>
      <c r="G16" s="329"/>
      <c r="H16" s="329"/>
      <c r="I16" s="329"/>
      <c r="J16" s="329"/>
      <c r="K16" s="308"/>
    </row>
    <row r="17" spans="1:11" ht="14.45" customHeight="1" x14ac:dyDescent="0.25">
      <c r="A17" s="308"/>
      <c r="B17" s="326"/>
      <c r="C17" s="327"/>
      <c r="D17" s="327"/>
      <c r="E17" s="327"/>
      <c r="F17" s="327"/>
      <c r="G17" s="327"/>
      <c r="H17" s="327"/>
      <c r="I17" s="327"/>
      <c r="J17" s="328"/>
      <c r="K17" s="308"/>
    </row>
    <row r="18" spans="1:11" ht="21.95" customHeight="1" thickBot="1" x14ac:dyDescent="0.3">
      <c r="A18" s="308"/>
      <c r="B18" s="330" t="s">
        <v>39</v>
      </c>
      <c r="C18" s="330"/>
      <c r="D18" s="330"/>
      <c r="E18" s="330"/>
      <c r="F18" s="330"/>
      <c r="G18" s="330"/>
      <c r="H18" s="330"/>
      <c r="I18" s="330"/>
      <c r="J18" s="330"/>
      <c r="K18" s="308"/>
    </row>
    <row r="19" spans="1:11" x14ac:dyDescent="0.25">
      <c r="A19" s="308"/>
      <c r="B19" s="316"/>
      <c r="C19" s="317"/>
      <c r="D19" s="317"/>
      <c r="E19" s="317"/>
      <c r="F19" s="317"/>
      <c r="G19" s="317"/>
      <c r="H19" s="317"/>
      <c r="I19" s="317"/>
      <c r="J19" s="318"/>
      <c r="K19" s="308"/>
    </row>
    <row r="20" spans="1:11" ht="45.95" customHeight="1" thickBot="1" x14ac:dyDescent="0.3">
      <c r="A20" s="308"/>
      <c r="B20" s="319"/>
      <c r="C20" s="320"/>
      <c r="D20" s="320"/>
      <c r="E20" s="320"/>
      <c r="F20" s="320"/>
      <c r="G20" s="320"/>
      <c r="H20" s="320"/>
      <c r="I20" s="320"/>
      <c r="J20" s="321"/>
      <c r="K20" s="308"/>
    </row>
    <row r="21" spans="1:11" ht="14.45" customHeight="1" x14ac:dyDescent="0.25">
      <c r="A21" s="308"/>
      <c r="B21" s="331" t="s">
        <v>40</v>
      </c>
      <c r="C21" s="331"/>
      <c r="D21" s="333"/>
      <c r="E21" s="333"/>
      <c r="F21" s="333"/>
      <c r="G21" s="333"/>
      <c r="H21" s="333"/>
      <c r="I21" s="334" t="s">
        <v>41</v>
      </c>
      <c r="J21" s="334"/>
      <c r="K21" s="308"/>
    </row>
    <row r="22" spans="1:11" x14ac:dyDescent="0.25">
      <c r="A22" s="308"/>
      <c r="B22" s="332"/>
      <c r="C22" s="332"/>
      <c r="D22" s="335"/>
      <c r="E22" s="335"/>
      <c r="F22" s="335"/>
      <c r="G22" s="335"/>
      <c r="H22" s="335"/>
      <c r="I22" s="336" t="s">
        <v>42</v>
      </c>
      <c r="J22" s="336"/>
      <c r="K22" s="308"/>
    </row>
    <row r="23" spans="1:11" x14ac:dyDescent="0.25">
      <c r="A23" s="308"/>
      <c r="B23" s="332"/>
      <c r="C23" s="332"/>
      <c r="D23" s="337"/>
      <c r="E23" s="337"/>
      <c r="F23" s="337"/>
      <c r="G23" s="337"/>
      <c r="H23" s="337"/>
      <c r="I23" s="336" t="s">
        <v>43</v>
      </c>
      <c r="J23" s="336"/>
      <c r="K23" s="308"/>
    </row>
    <row r="24" spans="1:11" x14ac:dyDescent="0.25">
      <c r="A24" s="308"/>
      <c r="B24" s="338"/>
      <c r="C24" s="338"/>
      <c r="D24" s="338"/>
      <c r="E24" s="338"/>
      <c r="F24" s="338"/>
      <c r="G24" s="338"/>
      <c r="H24" s="338"/>
      <c r="I24" s="338"/>
      <c r="J24" s="338"/>
      <c r="K24" s="308"/>
    </row>
    <row r="25" spans="1:11" x14ac:dyDescent="0.25">
      <c r="A25" s="308"/>
      <c r="B25" s="339"/>
      <c r="C25" s="339"/>
      <c r="D25" s="339"/>
      <c r="E25" s="339"/>
      <c r="F25" s="339"/>
      <c r="G25" s="339"/>
      <c r="H25" s="339"/>
      <c r="I25" s="339"/>
      <c r="J25" s="339"/>
      <c r="K25" s="308"/>
    </row>
    <row r="26" spans="1:11" ht="14.45" customHeight="1" x14ac:dyDescent="0.25">
      <c r="A26" s="308"/>
      <c r="B26" s="332" t="s">
        <v>44</v>
      </c>
      <c r="C26" s="332"/>
      <c r="D26" s="340"/>
      <c r="E26" s="340"/>
      <c r="F26" s="340"/>
      <c r="G26" s="340"/>
      <c r="H26" s="340"/>
      <c r="I26" s="341" t="s">
        <v>45</v>
      </c>
      <c r="J26" s="341"/>
      <c r="K26" s="308"/>
    </row>
    <row r="27" spans="1:11" x14ac:dyDescent="0.25">
      <c r="A27" s="308"/>
      <c r="B27" s="332"/>
      <c r="C27" s="332"/>
      <c r="D27" s="335"/>
      <c r="E27" s="335"/>
      <c r="F27" s="335"/>
      <c r="G27" s="335"/>
      <c r="H27" s="335"/>
      <c r="I27" s="336" t="s">
        <v>42</v>
      </c>
      <c r="J27" s="336"/>
      <c r="K27" s="308"/>
    </row>
    <row r="28" spans="1:11" ht="14.45" customHeight="1" x14ac:dyDescent="0.25">
      <c r="A28" s="308"/>
      <c r="B28" s="332"/>
      <c r="C28" s="332"/>
      <c r="D28" s="335"/>
      <c r="E28" s="335"/>
      <c r="F28" s="335"/>
      <c r="G28" s="335"/>
      <c r="H28" s="335"/>
      <c r="I28" s="336" t="s">
        <v>46</v>
      </c>
      <c r="J28" s="336"/>
      <c r="K28" s="308"/>
    </row>
    <row r="29" spans="1:11" x14ac:dyDescent="0.25">
      <c r="A29" s="308"/>
      <c r="B29" s="308"/>
      <c r="C29" s="308"/>
      <c r="D29" s="308"/>
      <c r="E29" s="308"/>
      <c r="F29" s="308"/>
      <c r="G29" s="308"/>
      <c r="H29" s="308"/>
      <c r="I29" s="308"/>
      <c r="J29" s="308"/>
      <c r="K29" s="308"/>
    </row>
  </sheetData>
  <mergeCells count="39">
    <mergeCell ref="A29:K29"/>
    <mergeCell ref="B24:J24"/>
    <mergeCell ref="B25:J25"/>
    <mergeCell ref="B26:C28"/>
    <mergeCell ref="D26:H26"/>
    <mergeCell ref="I26:J26"/>
    <mergeCell ref="D27:H27"/>
    <mergeCell ref="I27:J27"/>
    <mergeCell ref="D28:H28"/>
    <mergeCell ref="I28:J28"/>
    <mergeCell ref="B18:J18"/>
    <mergeCell ref="B21:C23"/>
    <mergeCell ref="D21:H21"/>
    <mergeCell ref="I21:J21"/>
    <mergeCell ref="D22:H22"/>
    <mergeCell ref="I22:J22"/>
    <mergeCell ref="D23:H23"/>
    <mergeCell ref="I23:J23"/>
    <mergeCell ref="B13:J13"/>
    <mergeCell ref="B14:J14"/>
    <mergeCell ref="B15:J15"/>
    <mergeCell ref="B16:J16"/>
    <mergeCell ref="B17:J17"/>
    <mergeCell ref="A1:K1"/>
    <mergeCell ref="A2:A28"/>
    <mergeCell ref="C2:I2"/>
    <mergeCell ref="K2:K28"/>
    <mergeCell ref="B3:J3"/>
    <mergeCell ref="B4:J4"/>
    <mergeCell ref="C5:D5"/>
    <mergeCell ref="E5:H5"/>
    <mergeCell ref="B6:J6"/>
    <mergeCell ref="B7:J7"/>
    <mergeCell ref="B19:J20"/>
    <mergeCell ref="B8:J8"/>
    <mergeCell ref="B9:J9"/>
    <mergeCell ref="C10:J10"/>
    <mergeCell ref="C11:J11"/>
    <mergeCell ref="B12:J1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D50A0E2C0FE749B6F38483D29E6E3F" ma:contentTypeVersion="10" ma:contentTypeDescription="Create a new document." ma:contentTypeScope="" ma:versionID="ed3c794bf90ce65fb6f491f34e31cea1">
  <xsd:schema xmlns:xsd="http://www.w3.org/2001/XMLSchema" xmlns:xs="http://www.w3.org/2001/XMLSchema" xmlns:p="http://schemas.microsoft.com/office/2006/metadata/properties" xmlns:ns2="8262aecf-1a49-4c30-a806-d3b9d9f6c2ab" xmlns:ns3="1753e23c-2f9f-43f9-9618-0f8136ba10a1" targetNamespace="http://schemas.microsoft.com/office/2006/metadata/properties" ma:root="true" ma:fieldsID="f819c1329fd787c895c484e1d0487a11" ns2:_="" ns3:_="">
    <xsd:import namespace="8262aecf-1a49-4c30-a806-d3b9d9f6c2ab"/>
    <xsd:import namespace="1753e23c-2f9f-43f9-9618-0f8136ba10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62aecf-1a49-4c30-a806-d3b9d9f6c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53e23c-2f9f-43f9-9618-0f8136ba10a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511F65-84EC-4CA6-8BE1-23FECEA99A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E72FE4-23A4-4791-8DB5-807AF6FD47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62aecf-1a49-4c30-a806-d3b9d9f6c2ab"/>
    <ds:schemaRef ds:uri="1753e23c-2f9f-43f9-9618-0f8136ba10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122B9-20B5-4221-8C75-B04C4FFF07A6}">
  <ds:schemaRefs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8262aecf-1a49-4c30-a806-d3b9d9f6c2ab"/>
    <ds:schemaRef ds:uri="http://schemas.microsoft.com/office/infopath/2007/PartnerControls"/>
    <ds:schemaRef ds:uri="http://purl.org/dc/terms/"/>
    <ds:schemaRef ds:uri="http://schemas.microsoft.com/office/2006/metadata/properties"/>
    <ds:schemaRef ds:uri="1753e23c-2f9f-43f9-9618-0f8136ba10a1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</vt:i4>
      </vt:variant>
    </vt:vector>
  </HeadingPairs>
  <TitlesOfParts>
    <vt:vector size="24" baseType="lpstr">
      <vt:lpstr>Work Order</vt:lpstr>
      <vt:lpstr>Liquid - Top</vt:lpstr>
      <vt:lpstr>Liquid - Bot</vt:lpstr>
      <vt:lpstr>Liquid - Fog</vt:lpstr>
      <vt:lpstr>Aggregate - Top</vt:lpstr>
      <vt:lpstr>Aggregate - Bot</vt:lpstr>
      <vt:lpstr>Samples</vt:lpstr>
      <vt:lpstr>Daily Report</vt:lpstr>
      <vt:lpstr>LessonLearned</vt:lpstr>
      <vt:lpstr>NCR( MTO)</vt:lpstr>
      <vt:lpstr>'Aggregate - Bot'!Print_Area</vt:lpstr>
      <vt:lpstr>'Aggregate - Top'!Print_Area</vt:lpstr>
      <vt:lpstr>'Daily Report'!Print_Area</vt:lpstr>
      <vt:lpstr>LessonLearned!Print_Area</vt:lpstr>
      <vt:lpstr>'Liquid - Bot'!Print_Area</vt:lpstr>
      <vt:lpstr>'Liquid - Fog'!Print_Area</vt:lpstr>
      <vt:lpstr>'Liquid - Top'!Print_Area</vt:lpstr>
      <vt:lpstr>Samples!Print_Area</vt:lpstr>
      <vt:lpstr>'Aggregate - Bot'!Print_Titles</vt:lpstr>
      <vt:lpstr>'Aggregate - Top'!Print_Titles</vt:lpstr>
      <vt:lpstr>'Liquid - Bot'!Print_Titles</vt:lpstr>
      <vt:lpstr>'Liquid - Fog'!Print_Titles</vt:lpstr>
      <vt:lpstr>'Liquid - Top'!Print_Titles</vt:lpstr>
      <vt:lpstr>Samples!Print_Titles</vt:lpstr>
    </vt:vector>
  </TitlesOfParts>
  <Company>The Miller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 Parsons</dc:creator>
  <cp:lastModifiedBy>Robbie MacMaster</cp:lastModifiedBy>
  <cp:lastPrinted>2021-05-26T14:41:45Z</cp:lastPrinted>
  <dcterms:created xsi:type="dcterms:W3CDTF">2016-07-22T21:22:35Z</dcterms:created>
  <dcterms:modified xsi:type="dcterms:W3CDTF">2021-06-12T03:09:36Z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b95ba9-d50e-4074-b623-0a9711dc916f_Enabled">
    <vt:lpwstr>true</vt:lpwstr>
  </property>
  <property fmtid="{D5CDD505-2E9C-101B-9397-08002B2CF9AE}" pid="3" name="MSIP_Label_06b95ba9-d50e-4074-b623-0a9711dc916f_SetDate">
    <vt:lpwstr>2020-11-19T21:45:44Z</vt:lpwstr>
  </property>
  <property fmtid="{D5CDD505-2E9C-101B-9397-08002B2CF9AE}" pid="4" name="MSIP_Label_06b95ba9-d50e-4074-b623-0a9711dc916f_Method">
    <vt:lpwstr>Standard</vt:lpwstr>
  </property>
  <property fmtid="{D5CDD505-2E9C-101B-9397-08002B2CF9AE}" pid="5" name="MSIP_Label_06b95ba9-d50e-4074-b623-0a9711dc916f_Name">
    <vt:lpwstr>[Public]</vt:lpwstr>
  </property>
  <property fmtid="{D5CDD505-2E9C-101B-9397-08002B2CF9AE}" pid="6" name="MSIP_Label_06b95ba9-d50e-4074-b623-0a9711dc916f_SiteId">
    <vt:lpwstr>be0be093-a2ad-444c-93d9-5626e83beefc</vt:lpwstr>
  </property>
  <property fmtid="{D5CDD505-2E9C-101B-9397-08002B2CF9AE}" pid="7" name="MSIP_Label_06b95ba9-d50e-4074-b623-0a9711dc916f_ActionId">
    <vt:lpwstr>a7bde5de-d9d2-4d69-ba55-9aab3a368d87</vt:lpwstr>
  </property>
  <property fmtid="{D5CDD505-2E9C-101B-9397-08002B2CF9AE}" pid="8" name="MSIP_Label_06b95ba9-d50e-4074-b623-0a9711dc916f_ContentBits">
    <vt:lpwstr>0</vt:lpwstr>
  </property>
  <property fmtid="{D5CDD505-2E9C-101B-9397-08002B2CF9AE}" pid="9" name="ContentTypeId">
    <vt:lpwstr>0x01010033D50A0E2C0FE749B6F38483D29E6E3F</vt:lpwstr>
  </property>
</Properties>
</file>